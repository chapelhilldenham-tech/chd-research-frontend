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sunkeye\Downloads\"/>
    </mc:Choice>
  </mc:AlternateContent>
  <xr:revisionPtr revIDLastSave="0" documentId="8_{D704A47C-96DA-40D1-867B-22B007853007}" xr6:coauthVersionLast="47" xr6:coauthVersionMax="47" xr10:uidLastSave="{00000000-0000-0000-0000-000000000000}"/>
  <bookViews>
    <workbookView xWindow="-120" yWindow="-120" windowWidth="29040" windowHeight="15840" xr2:uid="{579C6A53-3E1E-4463-8255-CFDE3442D9B5}"/>
  </bookViews>
  <sheets>
    <sheet name="DMS pricelist (16)" sheetId="1" r:id="rId1"/>
  </sheets>
  <externalReferences>
    <externalReference r:id="rId2"/>
  </externalReferences>
  <definedNames>
    <definedName name="_xlnm._FilterDatabase" localSheetId="0" hidden="1">'DMS pricelist (16)'!$A$6:$K$6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1" i="1" l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</calcChain>
</file>

<file path=xl/sharedStrings.xml><?xml version="1.0" encoding="utf-8"?>
<sst xmlns="http://schemas.openxmlformats.org/spreadsheetml/2006/main" count="166" uniqueCount="143">
  <si>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</si>
  <si>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</si>
  <si>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</si>
  <si>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</si>
  <si>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</si>
  <si>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</si>
  <si>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</si>
  <si>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</si>
  <si>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</si>
  <si>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</si>
  <si>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</si>
  <si>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</si>
  <si>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</si>
  <si>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</si>
  <si>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</si>
  <si>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ABBEYBDS</t>
  </si>
  <si>
    <t>AIRTELAFRI</t>
  </si>
  <si>
    <t>ABCTRANS</t>
  </si>
  <si>
    <t>INTENEGINS</t>
  </si>
  <si>
    <t>ACADEMY</t>
  </si>
  <si>
    <t>ACCESSCORP</t>
  </si>
  <si>
    <t>INFINITY</t>
  </si>
  <si>
    <t>AFRIPRUD</t>
  </si>
  <si>
    <t>FIRSTHOLDCO</t>
  </si>
  <si>
    <t>AIICO</t>
  </si>
  <si>
    <t>NPFMCRFBK</t>
  </si>
  <si>
    <t>NEM</t>
  </si>
  <si>
    <t>ALEX</t>
  </si>
  <si>
    <t>FTGINSURE</t>
  </si>
  <si>
    <t>ARADEL</t>
  </si>
  <si>
    <t>CUTIX</t>
  </si>
  <si>
    <t>AUSTINLAZ</t>
  </si>
  <si>
    <t>TIP</t>
  </si>
  <si>
    <t>BERGER</t>
  </si>
  <si>
    <t>BETAGLAS</t>
  </si>
  <si>
    <t>BUACEMENT</t>
  </si>
  <si>
    <t>LEARNAFRCA</t>
  </si>
  <si>
    <t>BUAFOODS</t>
  </si>
  <si>
    <t>CADBURY</t>
  </si>
  <si>
    <t>NAHCO</t>
  </si>
  <si>
    <t>CAP</t>
  </si>
  <si>
    <t>CAVERTON</t>
  </si>
  <si>
    <t>CHAMPION</t>
  </si>
  <si>
    <t>FIDSON</t>
  </si>
  <si>
    <t>CHAMS</t>
  </si>
  <si>
    <t>CORNERST</t>
  </si>
  <si>
    <t>CILEASING</t>
  </si>
  <si>
    <t>GUINNESS</t>
  </si>
  <si>
    <t>CNIF</t>
  </si>
  <si>
    <t>DEAPCAP</t>
  </si>
  <si>
    <t>CONHALLPLC</t>
  </si>
  <si>
    <t>TANTALIZER</t>
  </si>
  <si>
    <t>CONOIL</t>
  </si>
  <si>
    <t>CUSTODIAN</t>
  </si>
  <si>
    <t>CWG</t>
  </si>
  <si>
    <t>DAARCOMM</t>
  </si>
  <si>
    <t>DANGCEM</t>
  </si>
  <si>
    <t>DANGSUGAR</t>
  </si>
  <si>
    <t>ELLAHLAKES</t>
  </si>
  <si>
    <t>ENAMELWA</t>
  </si>
  <si>
    <t>ETERNA</t>
  </si>
  <si>
    <t>ETI</t>
  </si>
  <si>
    <t>ETRANZACT</t>
  </si>
  <si>
    <t>EUNISELL</t>
  </si>
  <si>
    <t>FCMB</t>
  </si>
  <si>
    <t>FIDELITYBK</t>
  </si>
  <si>
    <t>FTNCOCOA</t>
  </si>
  <si>
    <t>GEREGU</t>
  </si>
  <si>
    <t>GTCO</t>
  </si>
  <si>
    <t>GUINEAINS</t>
  </si>
  <si>
    <t>HMCALL</t>
  </si>
  <si>
    <t>HONYFLOUR</t>
  </si>
  <si>
    <t>IKEJAHOTEL</t>
  </si>
  <si>
    <t>IMG</t>
  </si>
  <si>
    <t>INTBREW</t>
  </si>
  <si>
    <t>JAIZBANK</t>
  </si>
  <si>
    <t>JAPAULGOLD</t>
  </si>
  <si>
    <t>JBERGER</t>
  </si>
  <si>
    <t>JOHNHOLT</t>
  </si>
  <si>
    <t>LASACO</t>
  </si>
  <si>
    <t>LEGENDINT</t>
  </si>
  <si>
    <t>LINKASSURE</t>
  </si>
  <si>
    <t>LIVESTOCK</t>
  </si>
  <si>
    <t>LIVINGTRUST</t>
  </si>
  <si>
    <t>MANSARD</t>
  </si>
  <si>
    <t>MAYBAKER</t>
  </si>
  <si>
    <t>MBENEFIT</t>
  </si>
  <si>
    <t>MECURE</t>
  </si>
  <si>
    <t>MEYER</t>
  </si>
  <si>
    <t>MOFIREIF</t>
  </si>
  <si>
    <t>MORISON</t>
  </si>
  <si>
    <t>MTNN</t>
  </si>
  <si>
    <t>MULTIVERSE</t>
  </si>
  <si>
    <t>NASCON</t>
  </si>
  <si>
    <t>NB</t>
  </si>
  <si>
    <t>NCR</t>
  </si>
  <si>
    <t>NEIMETH</t>
  </si>
  <si>
    <t>NESTLE</t>
  </si>
  <si>
    <t>NGXGROUP</t>
  </si>
  <si>
    <t>NIDF</t>
  </si>
  <si>
    <t>NNFM</t>
  </si>
  <si>
    <t>NREIT</t>
  </si>
  <si>
    <t>NSLTECH</t>
  </si>
  <si>
    <t>OANDO</t>
  </si>
  <si>
    <t>OKOMUOIL</t>
  </si>
  <si>
    <t>OMATEK</t>
  </si>
  <si>
    <t>PREMPAINTS</t>
  </si>
  <si>
    <t>PRESCO</t>
  </si>
  <si>
    <t>PRESTIGE</t>
  </si>
  <si>
    <t>PZ</t>
  </si>
  <si>
    <t>REDSTAREX</t>
  </si>
  <si>
    <t>REGALINS</t>
  </si>
  <si>
    <t>ROYALEX</t>
  </si>
  <si>
    <t>RTBRISCOE</t>
  </si>
  <si>
    <t>SCOA</t>
  </si>
  <si>
    <t>SEPLAT</t>
  </si>
  <si>
    <t>SKYAVN</t>
  </si>
  <si>
    <t>SOVRENINS</t>
  </si>
  <si>
    <t>STANBIC</t>
  </si>
  <si>
    <t>STERLINGNG</t>
  </si>
  <si>
    <t>SUNUASSUR</t>
  </si>
  <si>
    <t>TOTAL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</si>
  <si>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</si>
  <si>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</si>
  <si>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</si>
  <si>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</si>
  <si>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</si>
  <si>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</si>
  <si>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</si>
  <si>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</si>
  <si>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UNILEVER</t>
  </si>
  <si>
    <t>UNIONDICON</t>
  </si>
  <si>
    <t>UNIVINSURE</t>
  </si>
  <si>
    <t>UPDC</t>
  </si>
  <si>
    <t>UPL</t>
  </si>
  <si>
    <t>VERITASKAP</t>
  </si>
  <si>
    <t>VFDGROUP</t>
  </si>
  <si>
    <t>VITAFOAM</t>
  </si>
  <si>
    <t>WAPCO</t>
  </si>
  <si>
    <t>WAPIC</t>
  </si>
  <si>
    <t>WEMABANK</t>
  </si>
  <si>
    <t>ZENITHBANK</t>
  </si>
  <si>
    <t>ZICHIS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</si>
</sst>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Pricelist for&quot;\ dd\ mmmm\ yyyy"/>
    <numFmt numFmtId="165" formatCode="0.0%"/>
    <numFmt numFmtId="166" formatCode="[$-809]dd\ mmmm\ yyyy;@"/>
    <numFmt numFmtId="167" formatCode="_-* #,##0.00_-;\-* #,##0.00_-;_-* &quot;-&quot;??_-;_-@_-"/>
    <numFmt numFmtId="168" formatCode="_(* #,##0_);_(* \(#,##0\);_(* &quot;-&quot;??_);_(@_)"/>
    <numFmt numFmtId="169" formatCode="0.00;0.00;"/>
    <numFmt numFmtId="170" formatCode="\+0.00;\-0.00;0.00"/>
    <numFmt numFmtId="171" formatCode="\+0.00;\(0.00\);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0" fontId="7" fillId="2" borderId="0" xfId="0" applyFont="1" applyFill="1"/>
    <xf numFmtId="0" fontId="8" fillId="2" borderId="0" xfId="0" applyFont="1" applyFill="1"/>
    <xf numFmtId="165" fontId="8" fillId="2" borderId="0" xfId="0" applyNumberFormat="1" applyFont="1" applyFill="1"/>
    <xf numFmtId="165" fontId="8" fillId="2" borderId="0" xfId="0" applyNumberFormat="1" applyFont="1" applyFill="1" applyAlignment="1">
      <alignment horizontal="right"/>
    </xf>
    <xf numFmtId="167" fontId="2" fillId="3" borderId="0" xfId="4" applyFont="1" applyFill="1" applyBorder="1" applyAlignment="1"/>
    <xf numFmtId="167" fontId="2" fillId="3" borderId="0" xfId="4" applyFont="1" applyFill="1" applyBorder="1" applyAlignment="1">
      <alignment horizontal="right"/>
    </xf>
    <xf numFmtId="167" fontId="2" fillId="3" borderId="0" xfId="4" applyFont="1" applyFill="1" applyBorder="1" applyAlignment="1">
      <alignment horizontal="left"/>
    </xf>
    <xf numFmtId="167" fontId="2" fillId="3" borderId="0" xfId="4" applyFont="1" applyFill="1" applyBorder="1" applyAlignment="1">
      <alignment horizontal="center"/>
    </xf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8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69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69" fontId="0" fillId="2" borderId="1" xfId="0" applyNumberFormat="1" applyFill="1" applyBorder="1"/>
    <xf numFmtId="170" fontId="0" fillId="2" borderId="0" xfId="0" applyNumberFormat="1" applyFill="1"/>
    <xf numFmtId="2" fontId="0" fillId="2" borderId="0" xfId="0" applyNumberFormat="1" applyFill="1" applyAlignment="1">
      <alignment horizontal="right"/>
    </xf>
    <xf numFmtId="10" fontId="0" fillId="2" borderId="0" xfId="2" applyNumberFormat="1" applyFont="1" applyFill="1"/>
    <xf numFmtId="10" fontId="0" fillId="2" borderId="0" xfId="2" applyNumberFormat="1" applyFont="1" applyFill="1" applyAlignment="1">
      <alignment horizontal="right"/>
    </xf>
    <xf numFmtId="171" fontId="0" fillId="2" borderId="0" xfId="0" applyNumberFormat="1" applyFill="1"/>
    <xf numFmtId="4" fontId="0" fillId="2" borderId="0" xfId="0" applyNumberFormat="1" applyFill="1"/>
    <xf numFmtId="2" fontId="0" fillId="2" borderId="1" xfId="1" applyNumberFormat="1" applyFont="1" applyFill="1" applyBorder="1"/>
    <xf numFmtId="10" fontId="0" fillId="2" borderId="1" xfId="2" applyNumberFormat="1" applyFont="1" applyFill="1" applyBorder="1"/>
    <xf numFmtId="1" fontId="0" fillId="2" borderId="1" xfId="0" applyNumberFormat="1" applyFill="1" applyBorder="1" applyAlignment="1">
      <alignment horizontal="center"/>
    </xf>
    <xf numFmtId="168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0" fillId="2" borderId="0" xfId="1" applyNumberFormat="1" applyFont="1" applyFill="1" applyAlignment="1">
      <alignment horizontal="right"/>
    </xf>
    <xf numFmtId="2" fontId="0" fillId="2" borderId="0" xfId="1" applyNumberFormat="1" applyFont="1" applyFill="1"/>
    <xf numFmtId="43" fontId="0" fillId="2" borderId="0" xfId="1" applyFont="1" applyFill="1" applyBorder="1"/>
    <xf numFmtId="164" fontId="4" fillId="2" borderId="0" xfId="3" applyNumberFormat="1" applyFont="1" applyFill="1" applyAlignment="1">
      <alignment horizontal="left" vertical="center"/>
    </xf>
    <xf numFmtId="165" fontId="6" fillId="2" borderId="0" xfId="0" applyNumberFormat="1" applyFont="1" applyFill="1" applyAlignment="1">
      <alignment horizontal="right"/>
    </xf>
    <xf numFmtId="166" fontId="6" fillId="2" borderId="0" xfId="0" applyNumberFormat="1" applyFont="1" applyFill="1" applyAlignment="1">
      <alignment horizontal="right"/>
    </xf>
  </cellXfs>
  <cellStyles count="5">
    <cellStyle name="Comma" xfId="1" builtinId="3"/>
    <cellStyle name="Comma 11 13 2" xfId="4" xr:uid="{709BAB4D-CF8E-4E4B-876F-17C5D9AE1320}"/>
    <cellStyle name="Normal" xfId="0" builtinId="0"/>
    <cellStyle name="Normal 5 10" xfId="3" xr:uid="{B9191472-FC63-42FF-A98D-9F3E96E659DE}"/>
    <cellStyle name="Percent" xfId="2" builtinId="5"/>
  </cellStyles>
  <dxfs count="2"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12036B59-0937-4F9B-8AC5-CE179AC3B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0</xdr:row>
      <xdr:rowOff>78441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5770043B-8B71-445C-814C-C559AFC89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4CCBCFE4-5C4A-4061-964D-5F19AC86D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pelhilldenhamgroup.sharepoint.com/sites/Research600/Shared%20Documents/Daily%20data/Pricelist%20Template%202026.xlsx" TargetMode="External"/><Relationship Id="rId1" Type="http://schemas.openxmlformats.org/officeDocument/2006/relationships/externalLinkPath" Target="https://chapelhilldenhamgroup.sharepoint.com/sites/Research600/Shared%20Documents/Daily%20data/Pricelist%20Templa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09"/>
      <sheetName val="0210"/>
      <sheetName val="0310"/>
      <sheetName val="0410"/>
      <sheetName val="0710"/>
      <sheetName val="0810"/>
      <sheetName val="0910"/>
      <sheetName val="1010"/>
      <sheetName val="1110"/>
      <sheetName val="1410"/>
      <sheetName val="1710"/>
      <sheetName val="1810"/>
      <sheetName val="2110"/>
      <sheetName val="2210"/>
      <sheetName val="2310"/>
      <sheetName val="2410"/>
      <sheetName val="2510"/>
      <sheetName val="2810"/>
      <sheetName val="2910"/>
      <sheetName val="2403"/>
      <sheetName val="2503"/>
      <sheetName val="2703"/>
      <sheetName val="2803"/>
      <sheetName val="2706"/>
      <sheetName val="3006"/>
      <sheetName val="0107"/>
      <sheetName val="0207"/>
      <sheetName val="0307"/>
      <sheetName val="0407"/>
      <sheetName val="0707"/>
      <sheetName val="0807"/>
      <sheetName val="0907"/>
      <sheetName val="1007"/>
      <sheetName val="1107"/>
      <sheetName val="1407"/>
      <sheetName val="1507"/>
      <sheetName val="1607"/>
      <sheetName val="1707"/>
      <sheetName val="1807"/>
      <sheetName val="2107"/>
      <sheetName val="2207"/>
      <sheetName val="2307"/>
      <sheetName val="2407"/>
      <sheetName val="2507"/>
      <sheetName val="3007"/>
      <sheetName val="3107"/>
      <sheetName val="0108"/>
      <sheetName val="0408"/>
      <sheetName val="0508"/>
      <sheetName val="0608"/>
      <sheetName val="0708"/>
      <sheetName val="08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508"/>
      <sheetName val="2608"/>
      <sheetName val="2708"/>
      <sheetName val="2808"/>
      <sheetName val="2908"/>
      <sheetName val="0109"/>
      <sheetName val="0209"/>
      <sheetName val="0309"/>
      <sheetName val="0409"/>
      <sheetName val="0509"/>
      <sheetName val="0809"/>
      <sheetName val="0909"/>
      <sheetName val="1009"/>
      <sheetName val="1109"/>
      <sheetName val="1209"/>
      <sheetName val="1509"/>
      <sheetName val="1609"/>
      <sheetName val="1709"/>
      <sheetName val="1809"/>
      <sheetName val="1909"/>
      <sheetName val="2209"/>
      <sheetName val="2309"/>
      <sheetName val="2409"/>
      <sheetName val="2509"/>
      <sheetName val="2609"/>
      <sheetName val="2909"/>
      <sheetName val="30 sept"/>
      <sheetName val="02 oct"/>
      <sheetName val="03 Oct"/>
      <sheetName val="08 Oct"/>
      <sheetName val="09 Oct"/>
      <sheetName val="10 Oct"/>
      <sheetName val="13 Oct"/>
      <sheetName val="14 Oct"/>
      <sheetName val="15 Oct"/>
      <sheetName val="16 Oct"/>
      <sheetName val="17 Oct"/>
      <sheetName val="20 Oct"/>
      <sheetName val="21 Oct"/>
      <sheetName val="22 Oct"/>
      <sheetName val="23 Oct"/>
      <sheetName val="24 Oct"/>
      <sheetName val="27 Oct"/>
      <sheetName val="28 Oct"/>
      <sheetName val="29 Oct"/>
      <sheetName val="30 Oct"/>
      <sheetName val="31 Oct"/>
      <sheetName val="DMS pricelist (20)"/>
      <sheetName val="Vlookup (Datapack) (3)"/>
      <sheetName val="DMS pricelist (18)"/>
      <sheetName val="DMS pricelist (19)"/>
      <sheetName val="Vlookup (Datapack) (2)"/>
      <sheetName val="DMS pricelist (17)"/>
      <sheetName val="DMS pricelist (15)"/>
      <sheetName val="DMS pricelist (13)"/>
      <sheetName val="DMS pricelist (12)"/>
      <sheetName val="DMS pricelist (11)"/>
      <sheetName val="DMS pricelist (10)"/>
      <sheetName val="DMS pricelist (9)"/>
      <sheetName val="DMS pricelist"/>
      <sheetName val="DMS pricelist (6)"/>
      <sheetName val="DMS pricelist (5)"/>
      <sheetName val="DMS pricelist (4)"/>
      <sheetName val="DMS pricelist (3)"/>
      <sheetName val="DMS pricelist (2)"/>
      <sheetName val="07.28"/>
      <sheetName val="08.01"/>
      <sheetName val="08.02"/>
      <sheetName val="08.04"/>
      <sheetName val="08.03"/>
      <sheetName val="08.05"/>
      <sheetName val="08.08"/>
      <sheetName val="08.09"/>
      <sheetName val="08.10"/>
      <sheetName val="08.11"/>
      <sheetName val="08.15"/>
      <sheetName val="08.16"/>
      <sheetName val="08.17"/>
      <sheetName val="08.18"/>
      <sheetName val="08.19"/>
      <sheetName val="08.22"/>
      <sheetName val="08.23"/>
      <sheetName val="08.24"/>
      <sheetName val="08.25"/>
      <sheetName val="08.26"/>
      <sheetName val="08.29"/>
      <sheetName val="08.30"/>
      <sheetName val="08.31"/>
      <sheetName val="09.01"/>
      <sheetName val="09.02"/>
      <sheetName val="09.05"/>
      <sheetName val="09.06"/>
      <sheetName val="09.07"/>
      <sheetName val="09.08"/>
      <sheetName val="09.09"/>
      <sheetName val="09.12"/>
      <sheetName val="09.13"/>
      <sheetName val="09.14"/>
      <sheetName val="09.15"/>
      <sheetName val="09.16"/>
      <sheetName val="09.19"/>
      <sheetName val="09.20"/>
      <sheetName val="09.21"/>
      <sheetName val="09.22"/>
      <sheetName val="09.23"/>
      <sheetName val="09.26"/>
      <sheetName val="09.27"/>
      <sheetName val="09.28"/>
      <sheetName val="09.29"/>
      <sheetName val="09.30"/>
      <sheetName val="10.04"/>
      <sheetName val="10.05"/>
      <sheetName val="10.06"/>
      <sheetName val="10.07"/>
      <sheetName val="10.11"/>
      <sheetName val="10.12"/>
      <sheetName val="10.13"/>
      <sheetName val="10.14"/>
      <sheetName val="10.17"/>
      <sheetName val="10.18"/>
      <sheetName val="10.19"/>
      <sheetName val="10.20"/>
      <sheetName val="10.21"/>
      <sheetName val="10.24"/>
      <sheetName val="10.26"/>
      <sheetName val="10.27"/>
      <sheetName val="10.28"/>
      <sheetName val="10.31"/>
      <sheetName val="11.01"/>
      <sheetName val="11.02"/>
      <sheetName val="11.03"/>
      <sheetName val="11.04"/>
      <sheetName val="11.07"/>
      <sheetName val="11.08"/>
      <sheetName val="11.09"/>
      <sheetName val="11.10"/>
      <sheetName val="11.11"/>
      <sheetName val="11.14"/>
      <sheetName val="11.15"/>
      <sheetName val="11.16"/>
      <sheetName val="11.17"/>
      <sheetName val="11.18"/>
      <sheetName val="11.21"/>
      <sheetName val="11.22"/>
      <sheetName val="11.23"/>
      <sheetName val="11.24"/>
      <sheetName val="11.25"/>
      <sheetName val="11.28"/>
      <sheetName val="11.29"/>
      <sheetName val="11.30"/>
      <sheetName val="12.01"/>
      <sheetName val="12.02"/>
      <sheetName val="12.05"/>
      <sheetName val="12.06"/>
      <sheetName val="12.07"/>
      <sheetName val="12.08"/>
      <sheetName val="12.09"/>
      <sheetName val="12.12"/>
      <sheetName val="12.13"/>
      <sheetName val="12.14"/>
      <sheetName val="12.15"/>
      <sheetName val="12.16"/>
      <sheetName val="12.19"/>
      <sheetName val="12.20"/>
      <sheetName val="12.21"/>
      <sheetName val="12.22"/>
      <sheetName val="12.23"/>
      <sheetName val="12.28"/>
      <sheetName val="12.29"/>
      <sheetName val="12.30"/>
      <sheetName val="01.03"/>
      <sheetName val="01.04"/>
      <sheetName val="01.05"/>
      <sheetName val="01.06"/>
      <sheetName val="01.09"/>
      <sheetName val="01.10"/>
      <sheetName val="01.11"/>
      <sheetName val="01.12"/>
      <sheetName val="01.13"/>
      <sheetName val="01.16"/>
      <sheetName val="01.17"/>
      <sheetName val="01.18"/>
      <sheetName val="01.19"/>
      <sheetName val="01.23"/>
      <sheetName val="01.24"/>
      <sheetName val="01.25"/>
      <sheetName val="01.26"/>
      <sheetName val="01.27"/>
      <sheetName val="01.30"/>
      <sheetName val="01.31"/>
      <sheetName val="02.01"/>
      <sheetName val="02.02"/>
      <sheetName val="02.06"/>
      <sheetName val="02.07"/>
      <sheetName val="02.08"/>
      <sheetName val="02.09"/>
      <sheetName val="02.10"/>
      <sheetName val="02.13"/>
      <sheetName val="02.14"/>
      <sheetName val="02.15"/>
      <sheetName val="02.16"/>
      <sheetName val="02.17"/>
      <sheetName val="02.20"/>
      <sheetName val="02.21"/>
      <sheetName val="02.22"/>
      <sheetName val="02.23"/>
      <sheetName val="02.24"/>
      <sheetName val="02.27"/>
      <sheetName val="02.28"/>
      <sheetName val="03.01"/>
      <sheetName val="03.02"/>
      <sheetName val="03.03"/>
      <sheetName val="03.06"/>
      <sheetName val="03.07"/>
      <sheetName val="03.08"/>
      <sheetName val="03.09"/>
      <sheetName val="03.10"/>
      <sheetName val="03.13"/>
      <sheetName val="03.14"/>
      <sheetName val="03.15"/>
      <sheetName val="03.16"/>
      <sheetName val="03.17"/>
      <sheetName val="03.20"/>
      <sheetName val="03.21"/>
      <sheetName val="03.22"/>
      <sheetName val="03.23"/>
      <sheetName val="03.24"/>
      <sheetName val="03.27"/>
      <sheetName val="03.28"/>
      <sheetName val="03.29"/>
      <sheetName val="03.30"/>
      <sheetName val="03.31"/>
      <sheetName val="04.03"/>
      <sheetName val="04.04"/>
      <sheetName val="04.05"/>
      <sheetName val="04.06"/>
      <sheetName val="04.11"/>
      <sheetName val="04.12"/>
      <sheetName val="04.13"/>
      <sheetName val="04.14"/>
      <sheetName val="04.17"/>
      <sheetName val="04.18"/>
      <sheetName val="04.19"/>
      <sheetName val="04.20"/>
      <sheetName val="04.25"/>
      <sheetName val="04.26 "/>
      <sheetName val="04.27"/>
      <sheetName val="04.28"/>
      <sheetName val="05.02"/>
      <sheetName val="05.03"/>
      <sheetName val="05.04"/>
      <sheetName val="05.05"/>
      <sheetName val="05.08"/>
      <sheetName val="05.09"/>
      <sheetName val="05.10"/>
      <sheetName val="05.11"/>
      <sheetName val="05.12"/>
      <sheetName val="05.15"/>
      <sheetName val="05.16"/>
      <sheetName val="05.17"/>
      <sheetName val="05.18"/>
      <sheetName val="05.19"/>
      <sheetName val="05.22"/>
      <sheetName val="05.23"/>
      <sheetName val="05.24"/>
      <sheetName val="05.25"/>
      <sheetName val="05.26"/>
      <sheetName val="05.30"/>
      <sheetName val="05.31"/>
      <sheetName val="06.01"/>
      <sheetName val="06.02"/>
      <sheetName val="06.05"/>
      <sheetName val="06.06"/>
      <sheetName val="06.07"/>
      <sheetName val="06.08"/>
      <sheetName val="06.09"/>
      <sheetName val="06.13"/>
      <sheetName val="06.14"/>
      <sheetName val="06.15"/>
      <sheetName val="06.16"/>
      <sheetName val="06.19"/>
      <sheetName val="06.20"/>
      <sheetName val="06.21"/>
      <sheetName val="06.22"/>
      <sheetName val="06.23"/>
      <sheetName val="06.26"/>
      <sheetName val="06.27"/>
      <sheetName val="06.30"/>
      <sheetName val="07.03"/>
      <sheetName val="07. 04"/>
      <sheetName val=".07.05"/>
      <sheetName val=".07.06 "/>
      <sheetName val=".07.07"/>
      <sheetName val="07.10"/>
      <sheetName val="07.11"/>
      <sheetName val="07.12"/>
      <sheetName val="07.13."/>
      <sheetName val="07.13. (2)"/>
      <sheetName val="07.14."/>
      <sheetName val="07.15."/>
      <sheetName val="07.18."/>
      <sheetName val="07.19."/>
      <sheetName val="07.20."/>
      <sheetName val="07.21."/>
      <sheetName val="07.24"/>
      <sheetName val="07.25."/>
      <sheetName val="07.26."/>
      <sheetName val="07.27."/>
      <sheetName val="07.28."/>
      <sheetName val="07.31."/>
      <sheetName val="08.01."/>
      <sheetName val="08.02."/>
      <sheetName val="08.03."/>
      <sheetName val="08.04. "/>
      <sheetName val="08.07. "/>
      <sheetName val="08.08."/>
      <sheetName val="08.09."/>
      <sheetName val="08.10."/>
      <sheetName val="08.11. "/>
      <sheetName val="08.14."/>
      <sheetName val="08.15."/>
      <sheetName val="08.16."/>
      <sheetName val="08.17."/>
      <sheetName val="08.18. "/>
      <sheetName val="08.21"/>
      <sheetName val="8.22"/>
      <sheetName val="8.23"/>
      <sheetName val="8.24"/>
      <sheetName val="8.25"/>
      <sheetName val="8.28"/>
      <sheetName val="8.29"/>
      <sheetName val="8.30"/>
      <sheetName val="8.31"/>
      <sheetName val="9.1"/>
      <sheetName val="9.4"/>
      <sheetName val="9.8"/>
      <sheetName val="9.11"/>
      <sheetName val="9.12"/>
      <sheetName val="9.14"/>
      <sheetName val="9.15"/>
      <sheetName val="9.18"/>
      <sheetName val="9.20"/>
      <sheetName val="9.21"/>
      <sheetName val="9.22"/>
      <sheetName val="9.25"/>
      <sheetName val="9.26"/>
      <sheetName val="9.28"/>
      <sheetName val="9.29"/>
      <sheetName val="10.03"/>
      <sheetName val="10.4"/>
      <sheetName val="10.5"/>
      <sheetName val="10.6"/>
      <sheetName val="10.9"/>
      <sheetName val="10.10"/>
      <sheetName val="10.11."/>
      <sheetName val="10.12."/>
      <sheetName val="10.13."/>
      <sheetName val="10.16."/>
      <sheetName val="10.17."/>
      <sheetName val=" 10.18"/>
      <sheetName val="10. 19"/>
      <sheetName val="10. 20"/>
      <sheetName val="10. 23"/>
      <sheetName val="10. 24"/>
      <sheetName val="10. 25"/>
      <sheetName val="10. 26"/>
      <sheetName val="10. 27"/>
      <sheetName val="10. 31"/>
      <sheetName val="11.1"/>
      <sheetName val="11.2"/>
      <sheetName val="11.3"/>
      <sheetName val="11.6 "/>
      <sheetName val="11.7"/>
      <sheetName val="11.8"/>
      <sheetName val="11.9 "/>
      <sheetName val="11. 10"/>
      <sheetName val="11. 13 "/>
      <sheetName val="11. 14"/>
      <sheetName val="11. 15"/>
      <sheetName val="11. 16 "/>
      <sheetName val="11. 17"/>
      <sheetName val="11. 20"/>
      <sheetName val="11. 21"/>
      <sheetName val="11. 22"/>
      <sheetName val="11. 23"/>
      <sheetName val="11. 24"/>
      <sheetName val="11. 27"/>
      <sheetName val="11. 28"/>
      <sheetName val="11. 29"/>
      <sheetName val="11. 30 "/>
      <sheetName val="12. 01"/>
      <sheetName val="12. 04 "/>
      <sheetName val="12. 05  "/>
      <sheetName val="12. 06   "/>
      <sheetName val="12. 07    "/>
      <sheetName val="12. 08     "/>
      <sheetName val="12.11"/>
      <sheetName val="12. 12"/>
      <sheetName val="12. 13"/>
      <sheetName val="12. 15"/>
      <sheetName val="12. 18"/>
      <sheetName val="12. 19"/>
      <sheetName val="12. 20"/>
      <sheetName val="12. 21"/>
      <sheetName val="12. 22"/>
      <sheetName val="12. 27"/>
      <sheetName val="12. 28"/>
      <sheetName val="12. 29"/>
      <sheetName val="01. 02"/>
      <sheetName val="01. 03"/>
      <sheetName val="01. 04"/>
      <sheetName val="01. 05"/>
      <sheetName val="01. 08"/>
      <sheetName val="01. 09"/>
      <sheetName val="01. 10"/>
      <sheetName val="01. 11"/>
      <sheetName val="01. 12"/>
      <sheetName val="01. 15"/>
      <sheetName val="01. 16"/>
      <sheetName val="01. 17"/>
      <sheetName val="01. 18"/>
      <sheetName val="01. 19"/>
      <sheetName val="01. 22"/>
      <sheetName val="01. 23"/>
      <sheetName val="01. 29"/>
      <sheetName val="01. 30"/>
      <sheetName val="01. 31"/>
      <sheetName val="02. 01"/>
      <sheetName val="02. 02"/>
      <sheetName val="02. 05"/>
      <sheetName val="02. 06"/>
      <sheetName val="02. 08"/>
      <sheetName val="02. 09"/>
      <sheetName val="02.12"/>
      <sheetName val="02. 13"/>
      <sheetName val="02. 14"/>
      <sheetName val="02. 15"/>
      <sheetName val="02. 16"/>
      <sheetName val="02. 19"/>
      <sheetName val="02. 20"/>
      <sheetName val="02. 21"/>
      <sheetName val="02. 22"/>
      <sheetName val="02. 23"/>
      <sheetName val="02.26"/>
      <sheetName val="02.27."/>
      <sheetName val="02.28. "/>
      <sheetName val="02.29."/>
      <sheetName val="03.01."/>
      <sheetName val="03.04."/>
      <sheetName val="03.05."/>
      <sheetName val="03.06."/>
      <sheetName val="03.07."/>
      <sheetName val="03.08."/>
      <sheetName val="03.11."/>
      <sheetName val="03.12."/>
      <sheetName val="03.13."/>
      <sheetName val="03.14."/>
      <sheetName val="03.15. "/>
      <sheetName val="03.18."/>
      <sheetName val="03.19"/>
      <sheetName val="03.20."/>
      <sheetName val="03.21."/>
      <sheetName val="03.22."/>
      <sheetName val="03.25"/>
      <sheetName val="03.26"/>
      <sheetName val="03.27."/>
      <sheetName val="03.28."/>
      <sheetName val="04.2."/>
      <sheetName val="04.3."/>
      <sheetName val="04.4."/>
      <sheetName val="04.5."/>
      <sheetName val="04.08."/>
      <sheetName val="04.12."/>
      <sheetName val="04.15."/>
      <sheetName val="04.16."/>
      <sheetName val="04.17."/>
      <sheetName val="04.18."/>
      <sheetName val="04.19."/>
      <sheetName val="04.22"/>
      <sheetName val="04.23"/>
      <sheetName val="04.24"/>
      <sheetName val="04.25."/>
      <sheetName val="04.26."/>
      <sheetName val="04.29."/>
      <sheetName val="04.30."/>
      <sheetName val="05.02."/>
      <sheetName val="05.03."/>
      <sheetName val="05.07"/>
      <sheetName val="05.08."/>
      <sheetName val="05.09."/>
      <sheetName val="05.10."/>
      <sheetName val="05.13"/>
      <sheetName val="05.14"/>
      <sheetName val="05. 15"/>
      <sheetName val="05. 16"/>
      <sheetName val="05. 17"/>
      <sheetName val="05.20"/>
      <sheetName val="05.21"/>
      <sheetName val="05.22."/>
      <sheetName val="05.23."/>
      <sheetName val="05.24."/>
      <sheetName val="05.31."/>
      <sheetName val="06.03."/>
      <sheetName val="06.04."/>
      <sheetName val="06.05."/>
      <sheetName val="06.06."/>
      <sheetName val="06.07."/>
      <sheetName val="06.10."/>
      <sheetName val="06.13."/>
      <sheetName val="06.14."/>
      <sheetName val="06.20."/>
      <sheetName val="06.21."/>
      <sheetName val="06.24"/>
      <sheetName val="06.25"/>
      <sheetName val="06.26."/>
      <sheetName val="06.27."/>
      <sheetName val="06.28"/>
      <sheetName val="07.01."/>
      <sheetName val="07.02"/>
      <sheetName val="07.03."/>
      <sheetName val="07.04."/>
      <sheetName val="07.05."/>
      <sheetName val="07.08. "/>
      <sheetName val="07.09."/>
      <sheetName val="07.10."/>
      <sheetName val="07.11."/>
      <sheetName val="07.12."/>
      <sheetName val="07.15.."/>
      <sheetName val="07.16."/>
      <sheetName val="07.17."/>
      <sheetName val="07.18.."/>
      <sheetName val="07.19.."/>
      <sheetName val="07.22.."/>
      <sheetName val="07.23.."/>
      <sheetName val="07.24.."/>
      <sheetName val="07.25.."/>
      <sheetName val="07.26.."/>
      <sheetName val="07.29"/>
      <sheetName val="08.01 "/>
      <sheetName val="08. 02"/>
      <sheetName val="08. 05"/>
      <sheetName val="08. 06"/>
      <sheetName val="08.07"/>
      <sheetName val="08.08 (1)"/>
      <sheetName val="08.09 (1)"/>
      <sheetName val="08.12."/>
      <sheetName val="08.13."/>
      <sheetName val="08.14.2"/>
      <sheetName val="08.15.1"/>
      <sheetName val="08.16.1"/>
      <sheetName val="08.19.1 "/>
      <sheetName val="08.20.1 "/>
      <sheetName val="08.21.1"/>
      <sheetName val="08.22.1 "/>
      <sheetName val="08.23.1"/>
      <sheetName val="08.26.1"/>
      <sheetName val="08.27.1"/>
      <sheetName val="08.28"/>
      <sheetName val="02.09.1"/>
      <sheetName val="03.09.1"/>
      <sheetName val="04.09.1"/>
      <sheetName val="05.09.1"/>
      <sheetName val="06.09.1 "/>
      <sheetName val="09.09."/>
      <sheetName val="09.10."/>
      <sheetName val="09.11."/>
      <sheetName val="09.12."/>
      <sheetName val="09.13."/>
      <sheetName val="09.17."/>
      <sheetName val="09.18. "/>
      <sheetName val="09.19."/>
      <sheetName val="09.20."/>
      <sheetName val="09.23.2"/>
      <sheetName val="09.24.2"/>
      <sheetName val="09.25.2"/>
      <sheetName val="09.26.2 "/>
      <sheetName val="09.27.2"/>
      <sheetName val="09  30"/>
      <sheetName val="10 02.24"/>
      <sheetName val="10 03.24"/>
      <sheetName val="10 04.24"/>
      <sheetName val="10 07.24"/>
      <sheetName val="10 08.24 "/>
      <sheetName val="10 09.24 "/>
      <sheetName val="10 10.24 "/>
      <sheetName val="10 11.24 "/>
      <sheetName val="10 14.24"/>
      <sheetName val="10 15.24"/>
      <sheetName val="10 16.24 "/>
      <sheetName val="10 17.24 "/>
      <sheetName val="10 18.24 "/>
      <sheetName val="10 21.24"/>
      <sheetName val="10 22 .24"/>
      <sheetName val="10.23.24"/>
      <sheetName val="10.24.24 "/>
      <sheetName val="10.25.24  "/>
      <sheetName val="10.28.24"/>
      <sheetName val="10.29.24"/>
      <sheetName val="10.30.24 "/>
      <sheetName val="11.01.24  "/>
      <sheetName val="11.04.24  "/>
      <sheetName val="11.05.24 "/>
      <sheetName val="11.06.24  "/>
      <sheetName val="DMS pricelist (14)"/>
      <sheetName val="11.07.24  "/>
      <sheetName val="11.08.24 "/>
      <sheetName val="11.11.24 "/>
      <sheetName val="11.12.24"/>
      <sheetName val="11.13.24 "/>
      <sheetName val="11.14.24"/>
      <sheetName val="11.15.24"/>
      <sheetName val="11.18.24"/>
      <sheetName val="11.19.24 "/>
      <sheetName val="11.20.24  "/>
      <sheetName val="11.21.24 "/>
      <sheetName val="11.22.24"/>
      <sheetName val="11.25.24 "/>
      <sheetName val="11.27.24  "/>
      <sheetName val="11.26.24  "/>
      <sheetName val="11.28.24   "/>
      <sheetName val="11.29.24"/>
      <sheetName val="12.02.24"/>
      <sheetName val="12.03.24 "/>
      <sheetName val="12.04.24 "/>
      <sheetName val="12.05.24 "/>
      <sheetName val="12.06.24 "/>
      <sheetName val="12.09.24 "/>
      <sheetName val="12.10.24  "/>
      <sheetName val="12.11.24  "/>
      <sheetName val="12.12.24"/>
      <sheetName val="12.13.24 "/>
      <sheetName val="12.16.24 "/>
      <sheetName val="12.17.24  "/>
      <sheetName val="12.18.24 "/>
      <sheetName val="12.19.24 "/>
      <sheetName val="12.20.24"/>
      <sheetName val="12.23.24 "/>
      <sheetName val="12.24.24"/>
      <sheetName val="12.27.24 "/>
      <sheetName val="12.30.24 "/>
      <sheetName val="12.31.24 "/>
      <sheetName val="1.02.25"/>
      <sheetName val="1.03.25"/>
      <sheetName val="1.06.25 "/>
      <sheetName val="1.07.25  "/>
      <sheetName val="1.08.25  "/>
      <sheetName val="1.09.25 "/>
      <sheetName val="1.10.25 "/>
      <sheetName val="1.13.25"/>
      <sheetName val="1.14.25"/>
      <sheetName val="1.15.25"/>
      <sheetName val="1.16.25"/>
      <sheetName val="1.17.25"/>
      <sheetName val="1.20.25"/>
      <sheetName val="1.21.25 "/>
      <sheetName val="1.22.25  "/>
      <sheetName val="1.23.25"/>
      <sheetName val="1.24.25"/>
      <sheetName val="1.27.25 "/>
      <sheetName val="1.28.25 "/>
      <sheetName val="1.29.25"/>
      <sheetName val="1.30.25 "/>
      <sheetName val="1.31.25"/>
      <sheetName val="2.04.25 "/>
      <sheetName val="2.05.25  "/>
      <sheetName val="2.06.25  "/>
      <sheetName val="2.07.25   "/>
      <sheetName val="2.10.25    "/>
      <sheetName val="2.11.25     "/>
      <sheetName val="2.12.25   "/>
      <sheetName val="2.14.25 "/>
      <sheetName val="2.17.25 "/>
      <sheetName val="2.18.25  "/>
      <sheetName val="2.19.25 "/>
      <sheetName val="2.20.25  "/>
      <sheetName val="2.24.25 "/>
      <sheetName val="2.25.25 "/>
      <sheetName val="2.26.25"/>
      <sheetName val="2.27.25"/>
      <sheetName val="2.28.25"/>
      <sheetName val="3.03.25 "/>
      <sheetName val="4.03.25"/>
      <sheetName val="5.03.25"/>
      <sheetName val="06.03.25"/>
      <sheetName val="07.03.25"/>
      <sheetName val="10.03.25 "/>
      <sheetName val="11.03.25 "/>
      <sheetName val="12.03.25  "/>
      <sheetName val="13.03.25   "/>
      <sheetName val="14.03.25"/>
      <sheetName val="17.03.25"/>
      <sheetName val="18.03.25 "/>
      <sheetName val="19.03.25"/>
      <sheetName val="20.03.25 "/>
      <sheetName val="21.03.25"/>
      <sheetName val="24.03.25 "/>
      <sheetName val="25.03.25 "/>
      <sheetName val="26.03.25"/>
      <sheetName val="27.03.25"/>
      <sheetName val="28.03.25"/>
      <sheetName val="02.04.25"/>
      <sheetName val="03.04.25 "/>
      <sheetName val="07.04.25 "/>
      <sheetName val="08.04.25  "/>
      <sheetName val="09.04.25"/>
      <sheetName val="10.04.25 "/>
      <sheetName val="11.04.25 "/>
      <sheetName val="14.04.25"/>
      <sheetName val="15.04.25"/>
      <sheetName val="16.04.25"/>
      <sheetName val="17.04.25"/>
      <sheetName val="22.04.25"/>
      <sheetName val="23.04.25 "/>
      <sheetName val="24.04.25"/>
      <sheetName val="25.04.25"/>
      <sheetName val="28.04.25"/>
      <sheetName val="29.04.25 "/>
      <sheetName val="2.05.25"/>
      <sheetName val="05.05.25"/>
      <sheetName val="06.05.25"/>
      <sheetName val="07.05.25"/>
      <sheetName val="08.05.25"/>
      <sheetName val="09.05.25"/>
      <sheetName val="12.05.25 "/>
      <sheetName val="13.05.25  "/>
      <sheetName val="14.05.25"/>
      <sheetName val="15.05.25"/>
      <sheetName val="16.05.25"/>
      <sheetName val="19.05.25 "/>
      <sheetName val="20.05.25 "/>
      <sheetName val="21.05.25"/>
      <sheetName val="22.05.25"/>
      <sheetName val="23.05.25 "/>
      <sheetName val="26.05.25"/>
      <sheetName val="27.05.25"/>
      <sheetName val="28.05.25"/>
      <sheetName val="29.05.25"/>
      <sheetName val="30.05.25"/>
      <sheetName val="02.06.2025"/>
      <sheetName val="03.06.2025"/>
      <sheetName val="04.06.2025 "/>
      <sheetName val="05.06.2025"/>
      <sheetName val="10.06.2025"/>
      <sheetName val="11.06.2025"/>
      <sheetName val="13.06.2025"/>
      <sheetName val="16.06.2025 "/>
      <sheetName val="17.06.2025"/>
      <sheetName val="25.06.2025 "/>
      <sheetName val="26.06.2025  "/>
      <sheetName val="27.06.2025 "/>
      <sheetName val="30.06.2025"/>
      <sheetName val="01.07.2025 "/>
      <sheetName val="02.07.2025 "/>
      <sheetName val="03.07.2025 "/>
      <sheetName val="04.07.2025 "/>
      <sheetName val="07.07.2025 "/>
      <sheetName val="08.07.2025"/>
      <sheetName val="10.07.2025 "/>
      <sheetName val="11.07.2025  "/>
      <sheetName val="14.07.2025"/>
      <sheetName val="16.07.2025"/>
      <sheetName val="17.07.2025"/>
      <sheetName val="18.07.2025 "/>
      <sheetName val="21.07.2025  "/>
      <sheetName val="22.07.2025"/>
      <sheetName val="23.07.2025"/>
      <sheetName val="24.07.2025"/>
      <sheetName val="31.07.2025"/>
      <sheetName val="01.08.2025"/>
      <sheetName val="04.08.2025"/>
      <sheetName val="05.08.2025 "/>
      <sheetName val="06.08.2025 "/>
      <sheetName val="07.08.2025"/>
      <sheetName val="08.08.2025 "/>
      <sheetName val="11.08.2025"/>
      <sheetName val="12.08.2025"/>
      <sheetName val="13.08.2025"/>
      <sheetName val="14.08.2025"/>
      <sheetName val="15.08.2025"/>
      <sheetName val="18.08.2025 "/>
      <sheetName val="19.08.2025  "/>
      <sheetName val="20.08.2025  "/>
      <sheetName val="21.08.2025 "/>
      <sheetName val="22.08.2025 "/>
      <sheetName val="25.08.2025 "/>
      <sheetName val="26.08.2025"/>
      <sheetName val="27.08.2025 "/>
      <sheetName val="28.08.2025"/>
      <sheetName val="29.08.2025"/>
      <sheetName val="01.09.2025"/>
      <sheetName val="02.09.2025"/>
      <sheetName val="03.09.2025"/>
      <sheetName val="04.09.2025"/>
      <sheetName val="08.09.2025"/>
      <sheetName val="09.09.2025"/>
      <sheetName val="10.09.2025"/>
      <sheetName val="11.09.2025"/>
      <sheetName val="12.09.2025"/>
      <sheetName val="15.09.2025"/>
      <sheetName val="16.09.2025 "/>
      <sheetName val="17.09.2025"/>
      <sheetName val="18.09.2025"/>
      <sheetName val="19.09.2025"/>
      <sheetName val="22.09.2025"/>
      <sheetName val="23.09.2025"/>
      <sheetName val="24.09.2025"/>
      <sheetName val="25.09.2025"/>
      <sheetName val="26.09.2025"/>
      <sheetName val="29.09.2025"/>
      <sheetName val="30.09.2025 "/>
      <sheetName val="02.10.2025"/>
      <sheetName val="03.10.2025"/>
      <sheetName val="06.10.2025"/>
      <sheetName val="07.10.2025"/>
      <sheetName val="08.10.2025"/>
      <sheetName val="09.10.2025"/>
      <sheetName val="10.10.2025"/>
      <sheetName val="13.10.2025"/>
      <sheetName val="14.10.2025 "/>
      <sheetName val="15.10.2025"/>
      <sheetName val="16.10.2025"/>
      <sheetName val="17.10.2025"/>
      <sheetName val="20.10.2025"/>
      <sheetName val="21.10.2025"/>
      <sheetName val="22.10.2025 "/>
      <sheetName val="23.10.2025"/>
      <sheetName val="24.10.2025"/>
      <sheetName val="27.10.2025"/>
      <sheetName val="28.10.2025 "/>
      <sheetName val="29.10.2025"/>
      <sheetName val="30.10.2025"/>
      <sheetName val="31.10.2025"/>
      <sheetName val="03.11.2025"/>
      <sheetName val="04.11.2025"/>
      <sheetName val="05.11.2025"/>
      <sheetName val="06.11.2025"/>
      <sheetName val="07.11.2025"/>
      <sheetName val="10.11.2025"/>
      <sheetName val="11.11.2025"/>
      <sheetName val="12.11.2025"/>
      <sheetName val="13.11.2025"/>
      <sheetName val="14.11.2025"/>
      <sheetName val="17.11.2025"/>
      <sheetName val="18.11.2025"/>
      <sheetName val="19.11.2025"/>
      <sheetName val="20.11.2025"/>
      <sheetName val="21.11.2025"/>
      <sheetName val="24.11.2025"/>
      <sheetName val="25.11.2025"/>
      <sheetName val="26.11.2025"/>
      <sheetName val="27.11.2025"/>
      <sheetName val="28.11.2025"/>
      <sheetName val="01.12.2025"/>
      <sheetName val="02.12.2025"/>
      <sheetName val="03.12.2025"/>
      <sheetName val="04.12.2025"/>
      <sheetName val="05.12.2025"/>
      <sheetName val="08.12.2025"/>
      <sheetName val="09.12.2025"/>
      <sheetName val="10.12.2025"/>
      <sheetName val="11.12.2025"/>
      <sheetName val="12.12.2025"/>
      <sheetName val="15.12.2025"/>
      <sheetName val="16.12.2025"/>
      <sheetName val="17.12.2025"/>
      <sheetName val="18.12.2025"/>
      <sheetName val="19.12.2025"/>
      <sheetName val="22.12.2025"/>
      <sheetName val="23.12.2025"/>
      <sheetName val="24.12.2025"/>
      <sheetName val="29.12.2025"/>
      <sheetName val="30.12.2025"/>
      <sheetName val="31.12.2025"/>
      <sheetName val="02.01.2026"/>
      <sheetName val="05.01.2026 "/>
      <sheetName val="06.01.2026 "/>
      <sheetName val="07.01.2026 "/>
      <sheetName val="08.01.2026 "/>
      <sheetName val="09.01.2026"/>
      <sheetName val="12.01.2026"/>
      <sheetName val="13.01.2026"/>
      <sheetName val="14.01.2026 "/>
      <sheetName val="15.01.2026 "/>
      <sheetName val="16.01.2026"/>
      <sheetName val="19.01.2026"/>
      <sheetName val="20.01.2026"/>
      <sheetName val="21.01.2026"/>
      <sheetName val="22.01.2026"/>
      <sheetName val="23.01.2026"/>
      <sheetName val="26.01.2026"/>
      <sheetName val="27.01.2026"/>
      <sheetName val="28.01.2026"/>
      <sheetName val="29.01.2026"/>
      <sheetName val="30.01.2026"/>
      <sheetName val="02.02.2026"/>
      <sheetName val="03.02.2026"/>
      <sheetName val="04.02.2026"/>
      <sheetName val="05.02.2026"/>
      <sheetName val="06.02.2026"/>
      <sheetName val="09.02.2026"/>
      <sheetName val="10.02.2026"/>
      <sheetName val="11.02.2026"/>
      <sheetName val="12.02.2026"/>
      <sheetName val="13.02.2026"/>
      <sheetName val="16.02.2026"/>
      <sheetName val="17.02.2026 "/>
      <sheetName val="18.02.2026 "/>
      <sheetName val="19.02.2026"/>
      <sheetName val="20.02.2026 "/>
      <sheetName val="23.02.2026"/>
      <sheetName val="24.02.2026"/>
      <sheetName val="25.02.2026"/>
      <sheetName val="26.02.2026"/>
      <sheetName val="27.02.2026"/>
      <sheetName val="02.03.2026"/>
      <sheetName val="03.03.2026"/>
      <sheetName val="04.03.2026 "/>
      <sheetName val="05.03.2026"/>
      <sheetName val="06.03.2026"/>
      <sheetName val="09.03.2026"/>
      <sheetName val="10.03.2026"/>
      <sheetName val="11.03.2026"/>
      <sheetName val="12.03.2026"/>
      <sheetName val="13.03.2026"/>
      <sheetName val="16.03.2026"/>
      <sheetName val="17.03.2026"/>
      <sheetName val="18.03.2026"/>
      <sheetName val="23.03.2026"/>
      <sheetName val="24.03.2026"/>
      <sheetName val="25.03.2026 "/>
      <sheetName val="26.03.2026"/>
      <sheetName val="27.03.2026"/>
      <sheetName val="30.03.2026"/>
      <sheetName val="31.03.2026"/>
      <sheetName val="01.04.2026"/>
      <sheetName val="02.04.2026"/>
      <sheetName val="07.04.2026"/>
      <sheetName val="08.04.2026"/>
      <sheetName val="09.04.2026"/>
      <sheetName val="10.04.2026"/>
      <sheetName val="13.04.2026"/>
      <sheetName val="14.04.26"/>
      <sheetName val="15.04.26"/>
      <sheetName val="16.04.26"/>
      <sheetName val="17.04.26"/>
      <sheetName val="20.04.26"/>
      <sheetName val="21.04.26"/>
      <sheetName val="22.04.26"/>
      <sheetName val="23.04.26"/>
      <sheetName val="24.04.26"/>
      <sheetName val="27.04.26"/>
      <sheetName val="28.04.26"/>
      <sheetName val="29.04.2026"/>
      <sheetName val="30.4.2026"/>
      <sheetName val="05.04.2026"/>
      <sheetName val="05.05.2026"/>
      <sheetName val="06.05.2026"/>
      <sheetName val="07.05.2026 "/>
      <sheetName val="08.05.2026"/>
      <sheetName val="11.05.2026"/>
      <sheetName val="12.05.2026"/>
      <sheetName val="13.05.2026"/>
      <sheetName val="14.05.2026"/>
      <sheetName val="15.05.2026"/>
      <sheetName val="18.05.2026"/>
      <sheetName val="19.05.2026"/>
      <sheetName val="20.05.2026"/>
      <sheetName val="21.05.26"/>
      <sheetName val="22.05.26"/>
      <sheetName val="25.05.26"/>
      <sheetName val="26.05.26"/>
      <sheetName val="29.05.26"/>
      <sheetName val="01.06.2026"/>
      <sheetName val="02.06.2026"/>
      <sheetName val="03.06.26"/>
      <sheetName val="04.06.2026"/>
      <sheetName val="05.06.2026"/>
      <sheetName val="08.06.2026"/>
      <sheetName val="09.06.2026"/>
      <sheetName val="dog"/>
      <sheetName val="NSE"/>
      <sheetName val="Gainer and Losers"/>
      <sheetName val="Vlookup (Datapack)"/>
      <sheetName val="DMS pricelist (16)"/>
      <sheetName val="Compatibility Report"/>
      <sheetName val="j"/>
      <sheetName val="Sheet4"/>
      <sheetName val="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3CE7-37C8-465B-85F3-9B464767C2F6}">
  <dimension ref="A1:AC145"/>
  <sheetViews>
    <sheetView tabSelected="1" zoomScale="77" zoomScaleNormal="77" workbookViewId="0">
      <selection activeCell="R149" sqref="R149"/>
    </sheetView>
  </sheetViews>
  <sheetFormatPr defaultColWidth="9.42578125" defaultRowHeight="15"/>
  <cols>
    <col min="1" max="1" width="13.5703125" style="1" bestFit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16.85546875" style="1" bestFit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2" customWidth="1"/>
    <col min="15" max="19" width="9.42578125" style="1"/>
    <col min="20" max="20" width="16" style="1" bestFit="1" customWidth="1"/>
    <col min="21" max="16384" width="9.42578125" style="1"/>
  </cols>
  <sheetData>
    <row r="1" spans="1:29">
      <c r="A1" s="1" t="s">
        <v>0</v>
      </c>
      <c r="E1" s="40">
        <v>46182</v>
      </c>
      <c r="F1" s="40"/>
      <c r="G1" s="40"/>
      <c r="H1" s="40"/>
      <c r="I1" s="40"/>
      <c r="J1" s="40"/>
      <c r="K1" s="40"/>
    </row>
    <row r="2" spans="1:29" customFormat="1" ht="16.5" customHeight="1">
      <c r="A2" s="3"/>
      <c r="B2" s="4"/>
      <c r="C2" s="4"/>
      <c r="D2" s="4"/>
      <c r="E2" s="40"/>
      <c r="F2" s="40"/>
      <c r="G2" s="40"/>
      <c r="H2" s="40"/>
      <c r="I2" s="40"/>
      <c r="J2" s="40"/>
      <c r="K2" s="40"/>
      <c r="L2" s="4"/>
      <c r="M2" s="4"/>
      <c r="N2" s="4"/>
      <c r="O2" s="4"/>
      <c r="P2" s="4"/>
      <c r="Q2" s="4"/>
      <c r="R2" s="4"/>
      <c r="S2" s="41"/>
      <c r="T2" s="41"/>
      <c r="U2" s="5"/>
      <c r="V2" s="1"/>
      <c r="W2" s="1"/>
      <c r="X2" s="1"/>
      <c r="Y2" s="1"/>
      <c r="Z2" s="1"/>
      <c r="AA2" s="1"/>
      <c r="AB2" s="1"/>
      <c r="AC2" s="1"/>
    </row>
    <row r="3" spans="1:29" customFormat="1" ht="14.25" customHeight="1">
      <c r="A3" s="3"/>
      <c r="B3" s="4"/>
      <c r="C3" s="4"/>
      <c r="D3" s="4"/>
      <c r="E3" s="40"/>
      <c r="F3" s="40"/>
      <c r="G3" s="40"/>
      <c r="H3" s="40"/>
      <c r="I3" s="40"/>
      <c r="J3" s="40"/>
      <c r="K3" s="40"/>
      <c r="L3" s="4"/>
      <c r="M3" s="4"/>
      <c r="N3" s="4"/>
      <c r="O3" s="4"/>
      <c r="P3" s="4"/>
      <c r="Q3" s="4"/>
      <c r="R3" s="4"/>
      <c r="S3" s="41"/>
      <c r="T3" s="41"/>
      <c r="U3" s="5"/>
      <c r="V3" s="1"/>
      <c r="W3" s="1"/>
      <c r="X3" s="1"/>
      <c r="Y3" s="1"/>
      <c r="Z3" s="1"/>
      <c r="AA3" s="1"/>
      <c r="AB3" s="1"/>
      <c r="AC3" s="1"/>
    </row>
    <row r="4" spans="1:29" customFormat="1" ht="14.25" customHeight="1">
      <c r="A4" s="3"/>
      <c r="B4" s="4"/>
      <c r="C4" s="4"/>
      <c r="D4" s="4"/>
      <c r="E4" s="40"/>
      <c r="F4" s="40"/>
      <c r="G4" s="40"/>
      <c r="H4" s="40"/>
      <c r="I4" s="40"/>
      <c r="J4" s="40"/>
      <c r="K4" s="40"/>
      <c r="L4" s="4"/>
      <c r="M4" s="4"/>
      <c r="N4" s="4"/>
      <c r="O4" s="4"/>
      <c r="P4" s="4"/>
      <c r="Q4" s="4"/>
      <c r="R4" s="4"/>
      <c r="S4" s="42"/>
      <c r="T4" s="42"/>
      <c r="U4" s="5"/>
      <c r="V4" s="1"/>
      <c r="W4" s="1"/>
      <c r="X4" s="1"/>
      <c r="Y4" s="1"/>
      <c r="Z4" s="1"/>
      <c r="AA4" s="1"/>
      <c r="AB4" s="1"/>
      <c r="AC4" s="1"/>
    </row>
    <row r="5" spans="1:29" customFormat="1" ht="14.25" customHeight="1">
      <c r="A5" s="6"/>
      <c r="B5" s="6"/>
      <c r="C5" s="6"/>
      <c r="D5" s="6"/>
      <c r="E5" s="40"/>
      <c r="F5" s="40"/>
      <c r="G5" s="40"/>
      <c r="H5" s="40"/>
      <c r="I5" s="40"/>
      <c r="J5" s="40"/>
      <c r="K5" s="40"/>
      <c r="L5" s="7"/>
      <c r="M5" s="7"/>
      <c r="N5" s="8"/>
      <c r="O5" s="7"/>
      <c r="P5" s="7"/>
      <c r="Q5" s="7"/>
      <c r="R5" s="8"/>
      <c r="S5" s="7"/>
      <c r="T5" s="7"/>
      <c r="U5" s="5"/>
      <c r="V5" s="1"/>
      <c r="W5" s="1"/>
      <c r="X5" s="1"/>
      <c r="Y5" s="1"/>
      <c r="Z5" s="1"/>
      <c r="AA5" s="1"/>
      <c r="AB5" s="1"/>
      <c r="AC5" s="1"/>
    </row>
    <row r="6" spans="1:29">
      <c r="A6" s="9"/>
      <c r="B6" s="10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8</v>
      </c>
      <c r="J6" s="10" t="s">
        <v>9</v>
      </c>
      <c r="K6" s="10" t="s">
        <v>10</v>
      </c>
      <c r="M6" s="11" t="s">
        <v>11</v>
      </c>
      <c r="N6" s="12" t="s">
        <v>12</v>
      </c>
      <c r="O6" s="10" t="s">
        <v>13</v>
      </c>
    </row>
    <row r="7" spans="1:29">
      <c r="A7" s="13" t="s">
        <v>15</v>
      </c>
      <c r="B7" s="13">
        <v>10.25</v>
      </c>
      <c r="C7" s="13">
        <v>10.25</v>
      </c>
      <c r="D7" s="13">
        <v>11.25</v>
      </c>
      <c r="E7" s="13">
        <v>10.25</v>
      </c>
      <c r="F7" s="13">
        <v>11.25</v>
      </c>
      <c r="G7" s="13">
        <v>1</v>
      </c>
      <c r="H7" s="14">
        <v>9.7560975609756184E-2</v>
      </c>
      <c r="I7" s="15">
        <v>562</v>
      </c>
      <c r="J7" s="16">
        <v>10850387</v>
      </c>
      <c r="K7" s="16">
        <v>121266554.45</v>
      </c>
      <c r="M7" s="1" t="s">
        <v>16</v>
      </c>
      <c r="N7" s="17">
        <v>4021.2</v>
      </c>
      <c r="O7" s="18">
        <v>9.9980851820444805</v>
      </c>
      <c r="T7" s="19">
        <f>[1]NSE!T2</f>
        <v>0</v>
      </c>
    </row>
    <row r="8" spans="1:29">
      <c r="A8" s="13" t="s">
        <v>17</v>
      </c>
      <c r="B8" s="13">
        <v>6.8</v>
      </c>
      <c r="C8" s="13">
        <v>6.8</v>
      </c>
      <c r="D8" s="13">
        <v>0</v>
      </c>
      <c r="E8" s="13">
        <v>0</v>
      </c>
      <c r="F8" s="13">
        <v>6.8</v>
      </c>
      <c r="G8" s="13">
        <v>0</v>
      </c>
      <c r="H8" s="14">
        <v>0</v>
      </c>
      <c r="I8" s="15">
        <v>357</v>
      </c>
      <c r="J8" s="16">
        <v>1175522</v>
      </c>
      <c r="K8" s="16">
        <v>8599501.0999999996</v>
      </c>
      <c r="M8" s="1" t="s">
        <v>18</v>
      </c>
      <c r="N8" s="17">
        <v>8.77</v>
      </c>
      <c r="O8" s="18">
        <v>9.8997493734335649</v>
      </c>
      <c r="T8" s="19">
        <f>[1]NSE!T3</f>
        <v>0</v>
      </c>
    </row>
    <row r="9" spans="1:29">
      <c r="A9" s="13" t="s">
        <v>19</v>
      </c>
      <c r="B9" s="13">
        <v>7.45</v>
      </c>
      <c r="C9" s="13">
        <v>7.45</v>
      </c>
      <c r="D9" s="13">
        <v>0</v>
      </c>
      <c r="E9" s="13">
        <v>0</v>
      </c>
      <c r="F9" s="13">
        <v>7.45</v>
      </c>
      <c r="G9" s="13">
        <v>0</v>
      </c>
      <c r="H9" s="14">
        <v>0</v>
      </c>
      <c r="I9" s="15">
        <v>103</v>
      </c>
      <c r="J9" s="16">
        <v>228580</v>
      </c>
      <c r="K9" s="16">
        <v>1686444.1</v>
      </c>
      <c r="M9" s="1" t="s">
        <v>15</v>
      </c>
      <c r="N9" s="17">
        <v>11.25</v>
      </c>
      <c r="O9" s="18">
        <v>9.7560975609756184</v>
      </c>
      <c r="T9" s="19">
        <f>[1]NSE!T4</f>
        <v>0</v>
      </c>
    </row>
    <row r="10" spans="1:29">
      <c r="A10" s="13" t="s">
        <v>20</v>
      </c>
      <c r="B10" s="13">
        <v>24.5</v>
      </c>
      <c r="C10" s="13">
        <v>24.5</v>
      </c>
      <c r="D10" s="13">
        <v>25.2</v>
      </c>
      <c r="E10" s="13">
        <v>24.55</v>
      </c>
      <c r="F10" s="13">
        <v>25</v>
      </c>
      <c r="G10" s="13">
        <v>0.5</v>
      </c>
      <c r="H10" s="14">
        <v>2.0408163265306145E-2</v>
      </c>
      <c r="I10" s="15">
        <v>1919</v>
      </c>
      <c r="J10" s="16">
        <v>27318101</v>
      </c>
      <c r="K10" s="16">
        <v>680780058.35000002</v>
      </c>
      <c r="M10" s="1" t="s">
        <v>21</v>
      </c>
      <c r="N10" s="17">
        <v>10.25</v>
      </c>
      <c r="O10" s="18">
        <v>9.625668449197855</v>
      </c>
      <c r="T10" s="19">
        <f>[1]NSE!T5</f>
        <v>0</v>
      </c>
    </row>
    <row r="11" spans="1:29">
      <c r="A11" s="13" t="s">
        <v>22</v>
      </c>
      <c r="B11" s="13">
        <v>13</v>
      </c>
      <c r="C11" s="13">
        <v>13</v>
      </c>
      <c r="D11" s="13">
        <v>13.05</v>
      </c>
      <c r="E11" s="13">
        <v>13</v>
      </c>
      <c r="F11" s="13">
        <v>13</v>
      </c>
      <c r="G11" s="13">
        <v>0</v>
      </c>
      <c r="H11" s="14">
        <v>0</v>
      </c>
      <c r="I11" s="15">
        <v>253</v>
      </c>
      <c r="J11" s="16">
        <v>2618970</v>
      </c>
      <c r="K11" s="16">
        <v>34400744.700000003</v>
      </c>
      <c r="L11" s="19"/>
      <c r="M11" s="1" t="s">
        <v>23</v>
      </c>
      <c r="N11" s="17">
        <v>69</v>
      </c>
      <c r="O11" s="18">
        <v>8.4905660377358352</v>
      </c>
      <c r="T11" s="19">
        <f>[1]NSE!T6</f>
        <v>0</v>
      </c>
    </row>
    <row r="12" spans="1:29">
      <c r="A12" s="13" t="s">
        <v>24</v>
      </c>
      <c r="B12" s="13">
        <v>4.55</v>
      </c>
      <c r="C12" s="13">
        <v>4.55</v>
      </c>
      <c r="D12" s="13">
        <v>4.68</v>
      </c>
      <c r="E12" s="13">
        <v>4.51</v>
      </c>
      <c r="F12" s="13">
        <v>4.55</v>
      </c>
      <c r="G12" s="13">
        <v>0</v>
      </c>
      <c r="H12" s="14">
        <v>0</v>
      </c>
      <c r="I12" s="15">
        <v>768</v>
      </c>
      <c r="J12" s="16">
        <v>15249219</v>
      </c>
      <c r="K12" s="16">
        <v>69991129.030000001</v>
      </c>
      <c r="M12" s="1" t="s">
        <v>25</v>
      </c>
      <c r="N12" s="17">
        <v>5.5</v>
      </c>
      <c r="O12" s="18">
        <v>7.8431372549019773</v>
      </c>
      <c r="T12" s="19">
        <f>[1]NSE!T7</f>
        <v>0</v>
      </c>
    </row>
    <row r="13" spans="1:29">
      <c r="A13" s="13" t="s">
        <v>16</v>
      </c>
      <c r="B13" s="39">
        <v>3655.7</v>
      </c>
      <c r="C13" s="39">
        <v>3655.7</v>
      </c>
      <c r="D13" s="39">
        <v>4021.2</v>
      </c>
      <c r="E13" s="39">
        <v>4021.2</v>
      </c>
      <c r="F13" s="39">
        <v>4021.2</v>
      </c>
      <c r="G13" s="13">
        <v>365.5</v>
      </c>
      <c r="H13" s="14">
        <v>9.9980851820444805E-2</v>
      </c>
      <c r="I13" s="15">
        <v>2</v>
      </c>
      <c r="J13" s="16">
        <v>100159</v>
      </c>
      <c r="K13" s="16">
        <v>402759370.80000001</v>
      </c>
      <c r="M13" s="1" t="s">
        <v>26</v>
      </c>
      <c r="N13" s="17">
        <v>31.95</v>
      </c>
      <c r="O13" s="18">
        <v>6.8561872909699062</v>
      </c>
      <c r="T13" s="19">
        <f>[1]NSE!T8</f>
        <v>0</v>
      </c>
    </row>
    <row r="14" spans="1:29">
      <c r="A14" s="13" t="s">
        <v>27</v>
      </c>
      <c r="B14" s="13">
        <v>9.9</v>
      </c>
      <c r="C14" s="13">
        <v>9.9</v>
      </c>
      <c r="D14" s="13">
        <v>0</v>
      </c>
      <c r="E14" s="13">
        <v>0</v>
      </c>
      <c r="F14" s="13">
        <v>9.9</v>
      </c>
      <c r="G14" s="13">
        <v>0</v>
      </c>
      <c r="H14" s="14">
        <v>0</v>
      </c>
      <c r="I14" s="15">
        <v>25</v>
      </c>
      <c r="J14" s="16">
        <v>67259</v>
      </c>
      <c r="K14" s="16">
        <v>698083.5</v>
      </c>
      <c r="M14" s="1" t="s">
        <v>28</v>
      </c>
      <c r="N14" s="17">
        <v>1</v>
      </c>
      <c r="O14" s="18">
        <v>5.2631578947368363</v>
      </c>
      <c r="T14" s="19">
        <f>[1]NSE!T9</f>
        <v>0</v>
      </c>
    </row>
    <row r="15" spans="1:29">
      <c r="A15" s="13" t="s">
        <v>29</v>
      </c>
      <c r="B15" s="39">
        <v>1770</v>
      </c>
      <c r="C15" s="39">
        <v>1770</v>
      </c>
      <c r="D15" s="13">
        <v>0</v>
      </c>
      <c r="E15" s="13">
        <v>0</v>
      </c>
      <c r="F15" s="39">
        <v>1770</v>
      </c>
      <c r="G15" s="13">
        <v>0</v>
      </c>
      <c r="H15" s="14">
        <v>0</v>
      </c>
      <c r="I15" s="15">
        <v>2068</v>
      </c>
      <c r="J15" s="16">
        <v>7780566</v>
      </c>
      <c r="K15" s="16">
        <v>13247963561.700001</v>
      </c>
      <c r="M15" s="1" t="s">
        <v>30</v>
      </c>
      <c r="N15" s="17">
        <v>3.15</v>
      </c>
      <c r="O15" s="18">
        <v>5.0000000000000044</v>
      </c>
      <c r="T15" s="19">
        <f>[1]NSE!T10</f>
        <v>0</v>
      </c>
    </row>
    <row r="16" spans="1:29">
      <c r="A16" s="13" t="s">
        <v>31</v>
      </c>
      <c r="B16" s="13">
        <v>3.9</v>
      </c>
      <c r="C16" s="13">
        <v>3.9</v>
      </c>
      <c r="D16" s="13">
        <v>3.95</v>
      </c>
      <c r="E16" s="13">
        <v>3.9</v>
      </c>
      <c r="F16" s="13">
        <v>3.9</v>
      </c>
      <c r="G16" s="13">
        <v>0</v>
      </c>
      <c r="H16" s="14">
        <v>0</v>
      </c>
      <c r="I16" s="15">
        <v>87</v>
      </c>
      <c r="J16" s="16">
        <v>1005951</v>
      </c>
      <c r="K16" s="16">
        <v>3927622.03</v>
      </c>
      <c r="M16" s="20" t="s">
        <v>32</v>
      </c>
      <c r="N16" s="21">
        <v>33.25</v>
      </c>
      <c r="O16" s="22">
        <v>3.4214618973561484</v>
      </c>
      <c r="T16" s="19">
        <f>[1]NSE!T11</f>
        <v>0</v>
      </c>
    </row>
    <row r="17" spans="1:20">
      <c r="A17" s="13" t="s">
        <v>33</v>
      </c>
      <c r="B17" s="13">
        <v>147.6</v>
      </c>
      <c r="C17" s="13">
        <v>147.6</v>
      </c>
      <c r="D17" s="13">
        <v>0</v>
      </c>
      <c r="E17" s="13">
        <v>0</v>
      </c>
      <c r="F17" s="13">
        <v>147.6</v>
      </c>
      <c r="G17" s="13">
        <v>0</v>
      </c>
      <c r="H17" s="14">
        <v>0</v>
      </c>
      <c r="I17" s="15">
        <v>104</v>
      </c>
      <c r="J17" s="16">
        <v>25916</v>
      </c>
      <c r="K17" s="16">
        <v>3442940.6</v>
      </c>
      <c r="T17" s="19">
        <f>[1]NSE!T12</f>
        <v>0</v>
      </c>
    </row>
    <row r="18" spans="1:20">
      <c r="A18" s="13" t="s">
        <v>34</v>
      </c>
      <c r="B18" s="13">
        <v>562.79999999999995</v>
      </c>
      <c r="C18" s="13">
        <v>562.79999999999995</v>
      </c>
      <c r="D18" s="13">
        <v>0</v>
      </c>
      <c r="E18" s="13">
        <v>0</v>
      </c>
      <c r="F18" s="13">
        <v>562.79999999999995</v>
      </c>
      <c r="G18" s="13">
        <v>0</v>
      </c>
      <c r="H18" s="14">
        <v>0</v>
      </c>
      <c r="I18" s="15">
        <v>437</v>
      </c>
      <c r="J18" s="16">
        <v>135368</v>
      </c>
      <c r="K18" s="16">
        <v>70712540.099999994</v>
      </c>
      <c r="M18" s="11" t="s">
        <v>14</v>
      </c>
      <c r="N18" s="12" t="s">
        <v>12</v>
      </c>
      <c r="O18" s="10" t="s">
        <v>13</v>
      </c>
      <c r="T18" s="19">
        <f>[1]NSE!T13</f>
        <v>0</v>
      </c>
    </row>
    <row r="19" spans="1:20">
      <c r="A19" s="13" t="s">
        <v>35</v>
      </c>
      <c r="B19" s="13">
        <v>378</v>
      </c>
      <c r="C19" s="13">
        <v>378</v>
      </c>
      <c r="D19" s="13">
        <v>0</v>
      </c>
      <c r="E19" s="13">
        <v>0</v>
      </c>
      <c r="F19" s="13">
        <v>378</v>
      </c>
      <c r="G19" s="13">
        <v>0</v>
      </c>
      <c r="H19" s="14">
        <v>0</v>
      </c>
      <c r="I19" s="15">
        <v>1590</v>
      </c>
      <c r="J19" s="16">
        <v>405567</v>
      </c>
      <c r="K19" s="16">
        <v>152063282.40000001</v>
      </c>
      <c r="L19" s="19"/>
      <c r="M19" s="1" t="s">
        <v>36</v>
      </c>
      <c r="N19" s="23">
        <v>9.4499999999999993</v>
      </c>
      <c r="O19" s="19">
        <v>-10.000000000000009</v>
      </c>
      <c r="T19" s="19">
        <f>[1]NSE!T14</f>
        <v>0</v>
      </c>
    </row>
    <row r="20" spans="1:20">
      <c r="A20" s="13" t="s">
        <v>37</v>
      </c>
      <c r="B20" s="13">
        <v>939</v>
      </c>
      <c r="C20" s="13">
        <v>939</v>
      </c>
      <c r="D20" s="13">
        <v>0</v>
      </c>
      <c r="E20" s="13">
        <v>0</v>
      </c>
      <c r="F20" s="13">
        <v>939</v>
      </c>
      <c r="G20" s="13">
        <v>0</v>
      </c>
      <c r="H20" s="14">
        <v>0</v>
      </c>
      <c r="I20" s="15">
        <v>917</v>
      </c>
      <c r="J20" s="16">
        <v>174693</v>
      </c>
      <c r="K20" s="16">
        <v>153063406</v>
      </c>
      <c r="M20" s="1" t="s">
        <v>39</v>
      </c>
      <c r="N20" s="23">
        <v>170.55</v>
      </c>
      <c r="O20" s="19">
        <v>-10.000000000000009</v>
      </c>
      <c r="T20" s="19">
        <f>[1]NSE!T15</f>
        <v>0</v>
      </c>
    </row>
    <row r="21" spans="1:20">
      <c r="A21" s="13" t="s">
        <v>38</v>
      </c>
      <c r="B21" s="13">
        <v>69</v>
      </c>
      <c r="C21" s="13">
        <v>69</v>
      </c>
      <c r="D21" s="13">
        <v>0</v>
      </c>
      <c r="E21" s="13">
        <v>0</v>
      </c>
      <c r="F21" s="13">
        <v>69</v>
      </c>
      <c r="G21" s="13">
        <v>0</v>
      </c>
      <c r="H21" s="14">
        <v>0</v>
      </c>
      <c r="I21" s="15">
        <v>329</v>
      </c>
      <c r="J21" s="16">
        <v>384625</v>
      </c>
      <c r="K21" s="16">
        <v>24255790.600000001</v>
      </c>
      <c r="M21" s="1" t="s">
        <v>104</v>
      </c>
      <c r="N21" s="23">
        <v>1575</v>
      </c>
      <c r="O21" s="19">
        <v>-9.9999999999999982</v>
      </c>
      <c r="T21" s="19">
        <f>[1]NSE!T16</f>
        <v>0</v>
      </c>
    </row>
    <row r="22" spans="1:20">
      <c r="A22" s="13" t="s">
        <v>40</v>
      </c>
      <c r="B22" s="13">
        <v>175.1</v>
      </c>
      <c r="C22" s="13">
        <v>175.1</v>
      </c>
      <c r="D22" s="13">
        <v>0</v>
      </c>
      <c r="E22" s="13">
        <v>0</v>
      </c>
      <c r="F22" s="13">
        <v>175.1</v>
      </c>
      <c r="G22" s="13">
        <v>0</v>
      </c>
      <c r="H22" s="14">
        <v>0</v>
      </c>
      <c r="I22" s="15">
        <v>125</v>
      </c>
      <c r="J22" s="16">
        <v>232115</v>
      </c>
      <c r="K22" s="16">
        <v>36661408.100000001</v>
      </c>
      <c r="L22" s="19"/>
      <c r="M22" s="1" t="s">
        <v>124</v>
      </c>
      <c r="N22" s="23">
        <v>4.41</v>
      </c>
      <c r="O22" s="19">
        <v>-9.9999999999999982</v>
      </c>
      <c r="T22" s="19">
        <f>[1]NSE!T17</f>
        <v>0</v>
      </c>
    </row>
    <row r="23" spans="1:20">
      <c r="A23" s="13" t="s">
        <v>41</v>
      </c>
      <c r="B23" s="13">
        <v>6.2</v>
      </c>
      <c r="C23" s="13">
        <v>6.2</v>
      </c>
      <c r="D23" s="13">
        <v>6.05</v>
      </c>
      <c r="E23" s="13">
        <v>6</v>
      </c>
      <c r="F23" s="13">
        <v>6.05</v>
      </c>
      <c r="G23" s="13">
        <v>-0.15000000000000036</v>
      </c>
      <c r="H23" s="14">
        <v>-2.4193548387096864E-2</v>
      </c>
      <c r="I23" s="15">
        <v>113</v>
      </c>
      <c r="J23" s="16">
        <v>863572</v>
      </c>
      <c r="K23" s="16">
        <v>5233562.55</v>
      </c>
      <c r="M23" s="1" t="s">
        <v>130</v>
      </c>
      <c r="N23" s="23">
        <v>140.4</v>
      </c>
      <c r="O23" s="19">
        <v>-9.9999999999999982</v>
      </c>
      <c r="T23" s="19">
        <f>[1]NSE!T18</f>
        <v>0</v>
      </c>
    </row>
    <row r="24" spans="1:20">
      <c r="A24" s="13" t="s">
        <v>42</v>
      </c>
      <c r="B24" s="13">
        <v>13</v>
      </c>
      <c r="C24" s="13">
        <v>13</v>
      </c>
      <c r="D24" s="13">
        <v>13.1</v>
      </c>
      <c r="E24" s="13">
        <v>13.1</v>
      </c>
      <c r="F24" s="13">
        <v>13.1</v>
      </c>
      <c r="G24" s="13">
        <v>9.9999999999999645E-2</v>
      </c>
      <c r="H24" s="14">
        <v>7.692307692307665E-3</v>
      </c>
      <c r="I24" s="15">
        <v>128</v>
      </c>
      <c r="J24" s="16">
        <v>716075</v>
      </c>
      <c r="K24" s="16">
        <v>9416432.3000000007</v>
      </c>
      <c r="M24" s="1" t="s">
        <v>43</v>
      </c>
      <c r="N24" s="23">
        <v>110.6</v>
      </c>
      <c r="O24" s="19">
        <v>-9.971509971509974</v>
      </c>
      <c r="T24" s="19">
        <f>[1]NSE!T19</f>
        <v>0</v>
      </c>
    </row>
    <row r="25" spans="1:20">
      <c r="A25" s="13" t="s">
        <v>44</v>
      </c>
      <c r="B25" s="13">
        <v>4.0199999999999996</v>
      </c>
      <c r="C25" s="13">
        <v>4.0199999999999996</v>
      </c>
      <c r="D25" s="13">
        <v>4.1399999999999997</v>
      </c>
      <c r="E25" s="13">
        <v>4</v>
      </c>
      <c r="F25" s="13">
        <v>4.01</v>
      </c>
      <c r="G25" s="13">
        <v>-9.9999999999997868E-3</v>
      </c>
      <c r="H25" s="14">
        <v>-2.4875621890546595E-3</v>
      </c>
      <c r="I25" s="15">
        <v>919</v>
      </c>
      <c r="J25" s="16">
        <v>19153247</v>
      </c>
      <c r="K25" s="16">
        <v>77462732.840000004</v>
      </c>
      <c r="M25" s="1" t="s">
        <v>45</v>
      </c>
      <c r="N25" s="23">
        <v>5.25</v>
      </c>
      <c r="O25" s="19">
        <v>-9.4827586206896584</v>
      </c>
      <c r="T25" s="19">
        <f>[1]NSE!T20</f>
        <v>0</v>
      </c>
    </row>
    <row r="26" spans="1:20">
      <c r="A26" s="13" t="s">
        <v>46</v>
      </c>
      <c r="B26" s="13">
        <v>6.15</v>
      </c>
      <c r="C26" s="13">
        <v>6.15</v>
      </c>
      <c r="D26" s="13">
        <v>6.2</v>
      </c>
      <c r="E26" s="13">
        <v>6.15</v>
      </c>
      <c r="F26" s="13">
        <v>6.2</v>
      </c>
      <c r="G26" s="13">
        <v>4.9999999999999822E-2</v>
      </c>
      <c r="H26" s="14">
        <v>8.1300813008129413E-3</v>
      </c>
      <c r="I26" s="15">
        <v>128</v>
      </c>
      <c r="J26" s="16">
        <v>1249269</v>
      </c>
      <c r="K26" s="16">
        <v>7857456.5999999996</v>
      </c>
      <c r="M26" s="1" t="s">
        <v>47</v>
      </c>
      <c r="N26" s="23">
        <v>365.5</v>
      </c>
      <c r="O26" s="19">
        <v>-9.2151018380526644</v>
      </c>
      <c r="T26" s="19">
        <f>[1]NSE!T21</f>
        <v>0</v>
      </c>
    </row>
    <row r="27" spans="1:20">
      <c r="A27" s="13" t="s">
        <v>48</v>
      </c>
      <c r="B27" s="13">
        <v>110</v>
      </c>
      <c r="C27" s="13">
        <v>110</v>
      </c>
      <c r="D27" s="13">
        <v>0</v>
      </c>
      <c r="E27" s="13">
        <v>0</v>
      </c>
      <c r="F27" s="13">
        <v>110</v>
      </c>
      <c r="G27" s="13">
        <v>0</v>
      </c>
      <c r="H27" s="14">
        <v>0</v>
      </c>
      <c r="I27" s="15">
        <v>22</v>
      </c>
      <c r="J27" s="16">
        <v>40072</v>
      </c>
      <c r="K27" s="16">
        <v>4530561.8</v>
      </c>
      <c r="M27" s="1" t="s">
        <v>49</v>
      </c>
      <c r="N27" s="23">
        <v>4.87</v>
      </c>
      <c r="O27" s="19">
        <v>-8.9719626168224273</v>
      </c>
      <c r="T27" s="19">
        <f>[1]NSE!T22</f>
        <v>0</v>
      </c>
    </row>
    <row r="28" spans="1:20">
      <c r="A28" s="13" t="s">
        <v>50</v>
      </c>
      <c r="B28" s="13">
        <v>7.27</v>
      </c>
      <c r="C28" s="13">
        <v>7.27</v>
      </c>
      <c r="D28" s="13">
        <v>7.51</v>
      </c>
      <c r="E28" s="13">
        <v>7.27</v>
      </c>
      <c r="F28" s="13">
        <v>7.44</v>
      </c>
      <c r="G28" s="13">
        <v>0.17000000000000082</v>
      </c>
      <c r="H28" s="14">
        <v>2.3383768913342706E-2</v>
      </c>
      <c r="I28" s="15">
        <v>190</v>
      </c>
      <c r="J28" s="16">
        <v>5109301</v>
      </c>
      <c r="K28" s="16">
        <v>37595017.219999999</v>
      </c>
      <c r="M28" s="20" t="s">
        <v>51</v>
      </c>
      <c r="N28" s="24">
        <v>4.7</v>
      </c>
      <c r="O28" s="25">
        <v>-5.9999999999999947</v>
      </c>
      <c r="T28" s="19">
        <f>[1]NSE!T23</f>
        <v>0</v>
      </c>
    </row>
    <row r="29" spans="1:20">
      <c r="A29" s="13" t="s">
        <v>52</v>
      </c>
      <c r="B29" s="13">
        <v>194</v>
      </c>
      <c r="C29" s="13">
        <v>194</v>
      </c>
      <c r="D29" s="13">
        <v>0</v>
      </c>
      <c r="E29" s="13">
        <v>0</v>
      </c>
      <c r="F29" s="13">
        <v>194</v>
      </c>
      <c r="G29" s="13">
        <v>0</v>
      </c>
      <c r="H29" s="14">
        <v>0</v>
      </c>
      <c r="I29" s="15">
        <v>132</v>
      </c>
      <c r="J29" s="16">
        <v>41165</v>
      </c>
      <c r="K29" s="16">
        <v>7208362.5</v>
      </c>
      <c r="T29" s="19">
        <f>[1]NSE!T24</f>
        <v>0</v>
      </c>
    </row>
    <row r="30" spans="1:20">
      <c r="A30" s="13" t="s">
        <v>45</v>
      </c>
      <c r="B30" s="13">
        <v>5.8</v>
      </c>
      <c r="C30" s="13">
        <v>5.8</v>
      </c>
      <c r="D30" s="13">
        <v>5.3</v>
      </c>
      <c r="E30" s="13">
        <v>5.25</v>
      </c>
      <c r="F30" s="13">
        <v>5.25</v>
      </c>
      <c r="G30" s="13">
        <v>-0.54999999999999982</v>
      </c>
      <c r="H30" s="14">
        <v>-9.4827586206896575E-2</v>
      </c>
      <c r="I30" s="15">
        <v>103</v>
      </c>
      <c r="J30" s="16">
        <v>3162857</v>
      </c>
      <c r="K30" s="16">
        <v>16705716.85</v>
      </c>
      <c r="T30" s="19">
        <f>[1]NSE!T25</f>
        <v>0</v>
      </c>
    </row>
    <row r="31" spans="1:20">
      <c r="A31" s="13" t="s">
        <v>53</v>
      </c>
      <c r="B31" s="13">
        <v>83</v>
      </c>
      <c r="C31" s="13">
        <v>83</v>
      </c>
      <c r="D31" s="13">
        <v>0</v>
      </c>
      <c r="E31" s="13">
        <v>0</v>
      </c>
      <c r="F31" s="13">
        <v>83</v>
      </c>
      <c r="G31" s="13">
        <v>0</v>
      </c>
      <c r="H31" s="14">
        <v>0</v>
      </c>
      <c r="I31" s="15">
        <v>203</v>
      </c>
      <c r="J31" s="16">
        <v>377897</v>
      </c>
      <c r="K31" s="16">
        <v>30417922.050000001</v>
      </c>
      <c r="T31" s="19">
        <f>[1]NSE!T26</f>
        <v>0</v>
      </c>
    </row>
    <row r="32" spans="1:20">
      <c r="A32" s="13" t="s">
        <v>30</v>
      </c>
      <c r="B32" s="13">
        <v>3</v>
      </c>
      <c r="C32" s="13">
        <v>3</v>
      </c>
      <c r="D32" s="13">
        <v>3.19</v>
      </c>
      <c r="E32" s="13">
        <v>3.01</v>
      </c>
      <c r="F32" s="13">
        <v>3.15</v>
      </c>
      <c r="G32" s="13">
        <v>0.14999999999999991</v>
      </c>
      <c r="H32" s="14">
        <v>5.0000000000000044E-2</v>
      </c>
      <c r="I32" s="15">
        <v>209</v>
      </c>
      <c r="J32" s="16">
        <v>4077972</v>
      </c>
      <c r="K32" s="16">
        <v>12775999.810000001</v>
      </c>
      <c r="N32" s="18"/>
      <c r="O32" s="26"/>
      <c r="T32" s="19">
        <f>[1]NSE!T27</f>
        <v>0</v>
      </c>
    </row>
    <row r="33" spans="1:23">
      <c r="A33" s="13" t="s">
        <v>54</v>
      </c>
      <c r="B33" s="13">
        <v>22</v>
      </c>
      <c r="C33" s="13">
        <v>22</v>
      </c>
      <c r="D33" s="13">
        <v>0</v>
      </c>
      <c r="E33" s="13">
        <v>0</v>
      </c>
      <c r="F33" s="13">
        <v>22</v>
      </c>
      <c r="G33" s="13">
        <v>0</v>
      </c>
      <c r="H33" s="14">
        <v>0</v>
      </c>
      <c r="I33" s="15">
        <v>226</v>
      </c>
      <c r="J33" s="16">
        <v>866073</v>
      </c>
      <c r="K33" s="16">
        <v>18304710.050000001</v>
      </c>
      <c r="N33" s="27"/>
      <c r="O33" s="26"/>
      <c r="S33" s="28"/>
      <c r="T33" s="19">
        <f>[1]NSE!T28</f>
        <v>0</v>
      </c>
    </row>
    <row r="34" spans="1:23">
      <c r="A34" s="13" t="s">
        <v>55</v>
      </c>
      <c r="B34" s="13">
        <v>1.85</v>
      </c>
      <c r="C34" s="13">
        <v>1.85</v>
      </c>
      <c r="D34" s="13">
        <v>1.92</v>
      </c>
      <c r="E34" s="13">
        <v>1.86</v>
      </c>
      <c r="F34" s="13">
        <v>1.86</v>
      </c>
      <c r="G34" s="13">
        <v>1.0000000000000009E-2</v>
      </c>
      <c r="H34" s="14">
        <v>5.4054054054053502E-3</v>
      </c>
      <c r="I34" s="15">
        <v>160</v>
      </c>
      <c r="J34" s="16">
        <v>1121999</v>
      </c>
      <c r="K34" s="16">
        <v>2124516.89</v>
      </c>
      <c r="N34" s="27"/>
      <c r="O34" s="26"/>
      <c r="T34" s="19">
        <f>[1]NSE!T29</f>
        <v>0</v>
      </c>
    </row>
    <row r="35" spans="1:23">
      <c r="A35" s="13" t="s">
        <v>56</v>
      </c>
      <c r="B35" s="39">
        <v>1180</v>
      </c>
      <c r="C35" s="39">
        <v>1180</v>
      </c>
      <c r="D35" s="39">
        <v>1155</v>
      </c>
      <c r="E35" s="39">
        <v>1155</v>
      </c>
      <c r="F35" s="39">
        <v>1155</v>
      </c>
      <c r="G35" s="13">
        <v>-25</v>
      </c>
      <c r="H35" s="14">
        <v>-2.1186440677966156E-2</v>
      </c>
      <c r="I35" s="15">
        <v>2280</v>
      </c>
      <c r="J35" s="16">
        <v>1944811</v>
      </c>
      <c r="K35" s="16">
        <v>2227209004</v>
      </c>
      <c r="T35" s="19">
        <f>[1]NSE!T30</f>
        <v>0</v>
      </c>
    </row>
    <row r="36" spans="1:23">
      <c r="A36" s="13" t="s">
        <v>57</v>
      </c>
      <c r="B36" s="13">
        <v>72</v>
      </c>
      <c r="C36" s="13">
        <v>72</v>
      </c>
      <c r="D36" s="13">
        <v>72.599999999999994</v>
      </c>
      <c r="E36" s="13">
        <v>71.900000000000006</v>
      </c>
      <c r="F36" s="13">
        <v>72.599999999999994</v>
      </c>
      <c r="G36" s="13">
        <v>0.59999999999999432</v>
      </c>
      <c r="H36" s="14">
        <v>8.3333333333333037E-3</v>
      </c>
      <c r="I36" s="15">
        <v>2081</v>
      </c>
      <c r="J36" s="16">
        <v>5378271</v>
      </c>
      <c r="K36" s="16">
        <v>387423963.05000001</v>
      </c>
      <c r="T36" s="19">
        <f>[1]NSE!T31</f>
        <v>0</v>
      </c>
      <c r="W36" s="15"/>
    </row>
    <row r="37" spans="1:23">
      <c r="A37" s="13" t="s">
        <v>49</v>
      </c>
      <c r="B37" s="13">
        <v>5.35</v>
      </c>
      <c r="C37" s="13">
        <v>5.35</v>
      </c>
      <c r="D37" s="13">
        <v>5</v>
      </c>
      <c r="E37" s="13">
        <v>4.82</v>
      </c>
      <c r="F37" s="13">
        <v>4.87</v>
      </c>
      <c r="G37" s="13">
        <v>-0.47999999999999954</v>
      </c>
      <c r="H37" s="14">
        <v>-8.9719626168224265E-2</v>
      </c>
      <c r="I37" s="15">
        <v>188</v>
      </c>
      <c r="J37" s="16">
        <v>3926240</v>
      </c>
      <c r="K37" s="16">
        <v>19432588.73</v>
      </c>
      <c r="N37" s="29"/>
      <c r="O37" s="30"/>
      <c r="P37" s="1" t="s">
        <v>0</v>
      </c>
      <c r="T37" s="19">
        <f>[1]NSE!T32</f>
        <v>0</v>
      </c>
      <c r="W37" s="15"/>
    </row>
    <row r="38" spans="1:23">
      <c r="A38" s="13" t="s">
        <v>58</v>
      </c>
      <c r="B38" s="13">
        <v>9.9</v>
      </c>
      <c r="C38" s="13">
        <v>9.9</v>
      </c>
      <c r="D38" s="13">
        <v>10</v>
      </c>
      <c r="E38" s="13">
        <v>9.9</v>
      </c>
      <c r="F38" s="13">
        <v>9.9</v>
      </c>
      <c r="G38" s="13">
        <v>0</v>
      </c>
      <c r="H38" s="14">
        <v>0</v>
      </c>
      <c r="I38" s="15">
        <v>307</v>
      </c>
      <c r="J38" s="16">
        <v>3698811</v>
      </c>
      <c r="K38" s="16">
        <v>36834721.100000001</v>
      </c>
      <c r="T38" s="19">
        <f>[1]NSE!T33</f>
        <v>0</v>
      </c>
      <c r="W38" s="15"/>
    </row>
    <row r="39" spans="1:23">
      <c r="A39" s="13" t="s">
        <v>59</v>
      </c>
      <c r="B39" s="13">
        <v>37</v>
      </c>
      <c r="C39" s="13">
        <v>37</v>
      </c>
      <c r="D39" s="13">
        <v>0</v>
      </c>
      <c r="E39" s="13">
        <v>0</v>
      </c>
      <c r="F39" s="13">
        <v>37</v>
      </c>
      <c r="G39" s="13">
        <v>0</v>
      </c>
      <c r="H39" s="14">
        <v>0</v>
      </c>
      <c r="I39" s="15">
        <v>5</v>
      </c>
      <c r="J39" s="16">
        <v>4167</v>
      </c>
      <c r="K39" s="16">
        <v>165094.5</v>
      </c>
      <c r="T39" s="19">
        <f>[1]NSE!T34</f>
        <v>0</v>
      </c>
      <c r="W39" s="15"/>
    </row>
    <row r="40" spans="1:23">
      <c r="A40" s="13" t="s">
        <v>60</v>
      </c>
      <c r="B40" s="13">
        <v>30.8</v>
      </c>
      <c r="C40" s="13">
        <v>30.8</v>
      </c>
      <c r="D40" s="13">
        <v>0</v>
      </c>
      <c r="E40" s="13">
        <v>0</v>
      </c>
      <c r="F40" s="13">
        <v>30.8</v>
      </c>
      <c r="G40" s="13">
        <v>0</v>
      </c>
      <c r="H40" s="14">
        <v>0</v>
      </c>
      <c r="I40" s="15">
        <v>190</v>
      </c>
      <c r="J40" s="16">
        <v>749166</v>
      </c>
      <c r="K40" s="16">
        <v>23281666.899999999</v>
      </c>
      <c r="T40" s="19">
        <f>[1]NSE!T35</f>
        <v>0</v>
      </c>
      <c r="W40" s="15"/>
    </row>
    <row r="41" spans="1:23">
      <c r="A41" s="13" t="s">
        <v>61</v>
      </c>
      <c r="B41" s="13">
        <v>97.4</v>
      </c>
      <c r="C41" s="13">
        <v>97.4</v>
      </c>
      <c r="D41" s="13">
        <v>0</v>
      </c>
      <c r="E41" s="13">
        <v>0</v>
      </c>
      <c r="F41" s="13">
        <v>97.4</v>
      </c>
      <c r="G41" s="13">
        <v>0</v>
      </c>
      <c r="H41" s="14">
        <v>0</v>
      </c>
      <c r="I41" s="15">
        <v>221</v>
      </c>
      <c r="J41" s="16">
        <v>295475</v>
      </c>
      <c r="K41" s="16">
        <v>27043902.949999999</v>
      </c>
      <c r="T41" s="19">
        <f>[1]NSE!T36</f>
        <v>0</v>
      </c>
      <c r="W41" s="15"/>
    </row>
    <row r="42" spans="1:23">
      <c r="A42" s="13" t="s">
        <v>62</v>
      </c>
      <c r="B42" s="13">
        <v>18</v>
      </c>
      <c r="C42" s="13">
        <v>18</v>
      </c>
      <c r="D42" s="13">
        <v>0</v>
      </c>
      <c r="E42" s="13">
        <v>0</v>
      </c>
      <c r="F42" s="13">
        <v>18</v>
      </c>
      <c r="G42" s="13">
        <v>0</v>
      </c>
      <c r="H42" s="14">
        <v>0</v>
      </c>
      <c r="I42" s="15">
        <v>124</v>
      </c>
      <c r="J42" s="16">
        <v>224419</v>
      </c>
      <c r="K42" s="16">
        <v>3845240.45</v>
      </c>
      <c r="T42" s="19">
        <f>[1]NSE!T37</f>
        <v>0</v>
      </c>
    </row>
    <row r="43" spans="1:23">
      <c r="A43" s="13" t="s">
        <v>63</v>
      </c>
      <c r="B43" s="13">
        <v>210</v>
      </c>
      <c r="C43" s="13">
        <v>210</v>
      </c>
      <c r="D43" s="13">
        <v>0</v>
      </c>
      <c r="E43" s="13">
        <v>0</v>
      </c>
      <c r="F43" s="13">
        <v>210</v>
      </c>
      <c r="G43" s="13">
        <v>0</v>
      </c>
      <c r="H43" s="14">
        <v>0</v>
      </c>
      <c r="I43" s="15">
        <v>31</v>
      </c>
      <c r="J43" s="16">
        <v>2680</v>
      </c>
      <c r="K43" s="16">
        <v>506520</v>
      </c>
      <c r="T43" s="19">
        <f>[1]NSE!T38</f>
        <v>0</v>
      </c>
    </row>
    <row r="44" spans="1:23">
      <c r="A44" s="13" t="s">
        <v>64</v>
      </c>
      <c r="B44" s="13">
        <v>12</v>
      </c>
      <c r="C44" s="13">
        <v>12</v>
      </c>
      <c r="D44" s="13">
        <v>12.05</v>
      </c>
      <c r="E44" s="13">
        <v>11.9</v>
      </c>
      <c r="F44" s="13">
        <v>12</v>
      </c>
      <c r="G44" s="13">
        <v>0</v>
      </c>
      <c r="H44" s="14">
        <v>0</v>
      </c>
      <c r="I44" s="15">
        <v>1063</v>
      </c>
      <c r="J44" s="16">
        <v>34391602</v>
      </c>
      <c r="K44" s="16">
        <v>412790207.94999999</v>
      </c>
      <c r="N44" s="18"/>
      <c r="O44" s="30"/>
      <c r="T44" s="19">
        <f>[1]NSE!T39</f>
        <v>0</v>
      </c>
    </row>
    <row r="45" spans="1:23">
      <c r="A45" s="13" t="s">
        <v>65</v>
      </c>
      <c r="B45" s="13">
        <v>20.6</v>
      </c>
      <c r="C45" s="13">
        <v>20.6</v>
      </c>
      <c r="D45" s="13">
        <v>20.45</v>
      </c>
      <c r="E45" s="13">
        <v>20</v>
      </c>
      <c r="F45" s="13">
        <v>20.399999999999999</v>
      </c>
      <c r="G45" s="13">
        <v>-0.20000000000000284</v>
      </c>
      <c r="H45" s="14">
        <v>-9.7087378640777766E-3</v>
      </c>
      <c r="I45" s="15">
        <v>785</v>
      </c>
      <c r="J45" s="16">
        <v>19167566</v>
      </c>
      <c r="K45" s="16">
        <v>386672030.69999999</v>
      </c>
      <c r="N45" s="18"/>
      <c r="O45" s="30"/>
      <c r="T45" s="19">
        <f>[1]NSE!T40</f>
        <v>0</v>
      </c>
    </row>
    <row r="46" spans="1:23">
      <c r="A46" s="13" t="s">
        <v>43</v>
      </c>
      <c r="B46" s="13">
        <v>122.85</v>
      </c>
      <c r="C46" s="13">
        <v>122.85</v>
      </c>
      <c r="D46" s="13">
        <v>110.6</v>
      </c>
      <c r="E46" s="13">
        <v>110.6</v>
      </c>
      <c r="F46" s="13">
        <v>110.6</v>
      </c>
      <c r="G46" s="13">
        <v>-12.25</v>
      </c>
      <c r="H46" s="14">
        <v>-9.9715099715099731E-2</v>
      </c>
      <c r="I46" s="15">
        <v>879</v>
      </c>
      <c r="J46" s="16">
        <v>2095179</v>
      </c>
      <c r="K46" s="16">
        <v>231726797.40000001</v>
      </c>
      <c r="N46" s="18"/>
      <c r="O46" s="30"/>
      <c r="T46" s="19">
        <f>[1]NSE!T41</f>
        <v>0</v>
      </c>
    </row>
    <row r="47" spans="1:23">
      <c r="A47" s="13" t="s">
        <v>23</v>
      </c>
      <c r="B47" s="13">
        <v>63.6</v>
      </c>
      <c r="C47" s="13">
        <v>63.6</v>
      </c>
      <c r="D47" s="13">
        <v>69</v>
      </c>
      <c r="E47" s="13">
        <v>64.5</v>
      </c>
      <c r="F47" s="13">
        <v>69</v>
      </c>
      <c r="G47" s="13">
        <v>5.3999999999999986</v>
      </c>
      <c r="H47" s="14">
        <v>8.4905660377358361E-2</v>
      </c>
      <c r="I47" s="15">
        <v>1259</v>
      </c>
      <c r="J47" s="16">
        <v>16461737</v>
      </c>
      <c r="K47" s="16">
        <v>1087760811.4000001</v>
      </c>
      <c r="N47" s="18"/>
      <c r="O47" s="30"/>
      <c r="T47" s="19">
        <f>[1]NSE!T42</f>
        <v>0</v>
      </c>
    </row>
    <row r="48" spans="1:23">
      <c r="A48" s="13" t="s">
        <v>28</v>
      </c>
      <c r="B48" s="13">
        <v>0.95</v>
      </c>
      <c r="C48" s="13">
        <v>0.95</v>
      </c>
      <c r="D48" s="13">
        <v>1</v>
      </c>
      <c r="E48" s="13">
        <v>0.9</v>
      </c>
      <c r="F48" s="13">
        <v>1</v>
      </c>
      <c r="G48" s="13">
        <v>5.0000000000000044E-2</v>
      </c>
      <c r="H48" s="14">
        <v>5.2631578947368363E-2</v>
      </c>
      <c r="I48" s="15">
        <v>178</v>
      </c>
      <c r="J48" s="16">
        <v>4649722</v>
      </c>
      <c r="K48" s="16">
        <v>4494702.01</v>
      </c>
      <c r="N48" s="18"/>
      <c r="O48" s="30"/>
      <c r="T48" s="19">
        <f>[1]NSE!T43</f>
        <v>0</v>
      </c>
    </row>
    <row r="49" spans="1:20">
      <c r="A49" s="13" t="s">
        <v>66</v>
      </c>
      <c r="B49" s="13">
        <v>8.6</v>
      </c>
      <c r="C49" s="13">
        <v>8.6</v>
      </c>
      <c r="D49" s="13">
        <v>8.8699999999999992</v>
      </c>
      <c r="E49" s="13">
        <v>8.6</v>
      </c>
      <c r="F49" s="13">
        <v>8.8699999999999992</v>
      </c>
      <c r="G49" s="13">
        <v>0.26999999999999957</v>
      </c>
      <c r="H49" s="14">
        <v>3.139534883720918E-2</v>
      </c>
      <c r="I49" s="15">
        <v>316</v>
      </c>
      <c r="J49" s="16">
        <v>4234089</v>
      </c>
      <c r="K49" s="16">
        <v>36988259.780000001</v>
      </c>
      <c r="N49" s="18"/>
      <c r="O49" s="30"/>
      <c r="T49" s="19">
        <f>[1]NSE!T44</f>
        <v>0</v>
      </c>
    </row>
    <row r="50" spans="1:20">
      <c r="A50" s="13" t="s">
        <v>67</v>
      </c>
      <c r="B50" s="39">
        <v>1132.5</v>
      </c>
      <c r="C50" s="39">
        <v>1132.5</v>
      </c>
      <c r="D50" s="13">
        <v>0</v>
      </c>
      <c r="E50" s="13">
        <v>0</v>
      </c>
      <c r="F50" s="39">
        <v>1132.5</v>
      </c>
      <c r="G50" s="13">
        <v>0</v>
      </c>
      <c r="H50" s="14">
        <v>0</v>
      </c>
      <c r="I50" s="15">
        <v>33</v>
      </c>
      <c r="J50" s="16">
        <v>2104</v>
      </c>
      <c r="K50" s="16">
        <v>2144607.2000000002</v>
      </c>
      <c r="N50" s="18"/>
      <c r="O50" s="30"/>
      <c r="T50" s="19">
        <f>[1]NSE!T45</f>
        <v>0</v>
      </c>
    </row>
    <row r="51" spans="1:20">
      <c r="A51" s="13" t="s">
        <v>68</v>
      </c>
      <c r="B51" s="13">
        <v>135</v>
      </c>
      <c r="C51" s="13">
        <v>135</v>
      </c>
      <c r="D51" s="13">
        <v>136</v>
      </c>
      <c r="E51" s="13">
        <v>135.19999999999999</v>
      </c>
      <c r="F51" s="13">
        <v>136</v>
      </c>
      <c r="G51" s="13">
        <v>1</v>
      </c>
      <c r="H51" s="14">
        <v>7.4074074074073071E-3</v>
      </c>
      <c r="I51" s="15">
        <v>3083</v>
      </c>
      <c r="J51" s="16">
        <v>49191744</v>
      </c>
      <c r="K51" s="16">
        <v>6684490237.8500004</v>
      </c>
      <c r="N51" s="18"/>
      <c r="O51" s="30"/>
      <c r="T51" s="19">
        <f>[1]NSE!T46</f>
        <v>0</v>
      </c>
    </row>
    <row r="52" spans="1:20">
      <c r="A52" s="13" t="s">
        <v>69</v>
      </c>
      <c r="B52" s="13">
        <v>1.1299999999999999</v>
      </c>
      <c r="C52" s="13">
        <v>1.1299999999999999</v>
      </c>
      <c r="D52" s="13">
        <v>1.1200000000000001</v>
      </c>
      <c r="E52" s="13">
        <v>1.1200000000000001</v>
      </c>
      <c r="F52" s="13">
        <v>1.1200000000000001</v>
      </c>
      <c r="G52" s="13">
        <v>-9.9999999999997868E-3</v>
      </c>
      <c r="H52" s="14">
        <v>-8.8495575221236855E-3</v>
      </c>
      <c r="I52" s="15">
        <v>67</v>
      </c>
      <c r="J52" s="16">
        <v>777842</v>
      </c>
      <c r="K52" s="16">
        <v>879314.47</v>
      </c>
      <c r="N52" s="18"/>
      <c r="O52" s="30"/>
      <c r="T52" s="19">
        <f>[1]NSE!T47</f>
        <v>0</v>
      </c>
    </row>
    <row r="53" spans="1:20">
      <c r="A53" s="13" t="s">
        <v>47</v>
      </c>
      <c r="B53" s="13">
        <v>402.6</v>
      </c>
      <c r="C53" s="13">
        <v>402.6</v>
      </c>
      <c r="D53" s="13">
        <v>373</v>
      </c>
      <c r="E53" s="13">
        <v>365.5</v>
      </c>
      <c r="F53" s="13">
        <v>365.5</v>
      </c>
      <c r="G53" s="13">
        <v>-37.100000000000023</v>
      </c>
      <c r="H53" s="14">
        <v>-9.2151018380526639E-2</v>
      </c>
      <c r="I53" s="15">
        <v>229</v>
      </c>
      <c r="J53" s="16">
        <v>9768705</v>
      </c>
      <c r="K53" s="16">
        <v>3587005597.8000002</v>
      </c>
      <c r="N53" s="18"/>
      <c r="O53" s="30"/>
      <c r="T53" s="19">
        <f>[1]NSE!T48</f>
        <v>0</v>
      </c>
    </row>
    <row r="54" spans="1:20">
      <c r="A54" s="13" t="s">
        <v>70</v>
      </c>
      <c r="B54" s="13">
        <v>3.92</v>
      </c>
      <c r="C54" s="13">
        <v>3.92</v>
      </c>
      <c r="D54" s="13">
        <v>0</v>
      </c>
      <c r="E54" s="13">
        <v>0</v>
      </c>
      <c r="F54" s="13">
        <v>3.92</v>
      </c>
      <c r="G54" s="13">
        <v>0</v>
      </c>
      <c r="H54" s="14">
        <v>0</v>
      </c>
      <c r="I54" s="15">
        <v>90</v>
      </c>
      <c r="J54" s="16">
        <v>301521</v>
      </c>
      <c r="K54" s="16">
        <v>1161040.95</v>
      </c>
      <c r="N54" s="18"/>
      <c r="O54" s="30"/>
      <c r="T54" s="19">
        <f>[1]NSE!T49</f>
        <v>0</v>
      </c>
    </row>
    <row r="55" spans="1:20">
      <c r="A55" s="13" t="s">
        <v>71</v>
      </c>
      <c r="B55" s="13">
        <v>18.350000000000001</v>
      </c>
      <c r="C55" s="13">
        <v>18.350000000000001</v>
      </c>
      <c r="D55" s="13">
        <v>18.3</v>
      </c>
      <c r="E55" s="13">
        <v>18</v>
      </c>
      <c r="F55" s="13">
        <v>18</v>
      </c>
      <c r="G55" s="13">
        <v>-0.35000000000000142</v>
      </c>
      <c r="H55" s="14">
        <v>-1.9073569482288888E-2</v>
      </c>
      <c r="I55" s="15">
        <v>367</v>
      </c>
      <c r="J55" s="16">
        <v>1582684</v>
      </c>
      <c r="K55" s="16">
        <v>28577510.949999999</v>
      </c>
      <c r="N55" s="18"/>
      <c r="O55" s="30"/>
      <c r="T55" s="19">
        <f>[1]NSE!T50</f>
        <v>0</v>
      </c>
    </row>
    <row r="56" spans="1:20">
      <c r="A56" s="13" t="s">
        <v>72</v>
      </c>
      <c r="B56" s="13">
        <v>41.15</v>
      </c>
      <c r="C56" s="13">
        <v>41.15</v>
      </c>
      <c r="D56" s="13">
        <v>44</v>
      </c>
      <c r="E56" s="13">
        <v>41.3</v>
      </c>
      <c r="F56" s="13">
        <v>42.55</v>
      </c>
      <c r="G56" s="13">
        <v>1.3999999999999986</v>
      </c>
      <c r="H56" s="14">
        <v>3.402187120291611E-2</v>
      </c>
      <c r="I56" s="15">
        <v>181</v>
      </c>
      <c r="J56" s="16">
        <v>10896058</v>
      </c>
      <c r="K56" s="16">
        <v>464354213.05000001</v>
      </c>
      <c r="N56" s="18"/>
      <c r="O56" s="30"/>
      <c r="T56" s="19">
        <f>[1]NSE!T51</f>
        <v>0</v>
      </c>
    </row>
    <row r="57" spans="1:20">
      <c r="A57" s="13" t="s">
        <v>73</v>
      </c>
      <c r="B57" s="13">
        <v>37.6</v>
      </c>
      <c r="C57" s="13">
        <v>37.6</v>
      </c>
      <c r="D57" s="13">
        <v>0</v>
      </c>
      <c r="E57" s="13">
        <v>0</v>
      </c>
      <c r="F57" s="13">
        <v>37.6</v>
      </c>
      <c r="G57" s="13">
        <v>0</v>
      </c>
      <c r="H57" s="14">
        <v>0</v>
      </c>
      <c r="I57" s="15">
        <v>30</v>
      </c>
      <c r="J57" s="16">
        <v>125384</v>
      </c>
      <c r="K57" s="16">
        <v>4250989.25</v>
      </c>
      <c r="N57" s="18"/>
      <c r="O57" s="30"/>
      <c r="T57" s="19">
        <f>[1]NSE!T52</f>
        <v>0</v>
      </c>
    </row>
    <row r="58" spans="1:20">
      <c r="A58" s="13" t="s">
        <v>21</v>
      </c>
      <c r="B58" s="13">
        <v>9.35</v>
      </c>
      <c r="C58" s="13">
        <v>9.35</v>
      </c>
      <c r="D58" s="13">
        <v>10.25</v>
      </c>
      <c r="E58" s="13">
        <v>10.25</v>
      </c>
      <c r="F58" s="13">
        <v>10.25</v>
      </c>
      <c r="G58" s="13">
        <v>0.90000000000000036</v>
      </c>
      <c r="H58" s="14">
        <v>9.625668449197855E-2</v>
      </c>
      <c r="I58" s="15">
        <v>9</v>
      </c>
      <c r="J58" s="16">
        <v>116140</v>
      </c>
      <c r="K58" s="16">
        <v>1190435</v>
      </c>
      <c r="N58" s="18"/>
      <c r="O58" s="30"/>
      <c r="T58" s="19"/>
    </row>
    <row r="59" spans="1:20">
      <c r="A59" s="13" t="s">
        <v>74</v>
      </c>
      <c r="B59" s="13">
        <v>12.3</v>
      </c>
      <c r="C59" s="13">
        <v>12.3</v>
      </c>
      <c r="D59" s="13">
        <v>12.1</v>
      </c>
      <c r="E59" s="13">
        <v>11.55</v>
      </c>
      <c r="F59" s="13">
        <v>12.1</v>
      </c>
      <c r="G59" s="13">
        <v>-0.20000000000000107</v>
      </c>
      <c r="H59" s="14">
        <v>-1.6260162601626105E-2</v>
      </c>
      <c r="I59" s="15">
        <v>179</v>
      </c>
      <c r="J59" s="16">
        <v>2127187</v>
      </c>
      <c r="K59" s="16">
        <v>25001061.399999999</v>
      </c>
      <c r="N59" s="18"/>
      <c r="O59" s="30"/>
      <c r="T59" s="19">
        <f>[1]NSE!T55</f>
        <v>0</v>
      </c>
    </row>
    <row r="60" spans="1:20">
      <c r="A60" s="13" t="s">
        <v>18</v>
      </c>
      <c r="B60" s="13">
        <v>7.98</v>
      </c>
      <c r="C60" s="13">
        <v>7.98</v>
      </c>
      <c r="D60" s="13">
        <v>8.77</v>
      </c>
      <c r="E60" s="13">
        <v>8.77</v>
      </c>
      <c r="F60" s="13">
        <v>8.77</v>
      </c>
      <c r="G60" s="13">
        <v>0.78999999999999915</v>
      </c>
      <c r="H60" s="14">
        <v>9.899749373433564E-2</v>
      </c>
      <c r="I60" s="15">
        <v>833</v>
      </c>
      <c r="J60" s="16">
        <v>5294295</v>
      </c>
      <c r="K60" s="16">
        <v>46241792.43</v>
      </c>
      <c r="N60" s="18"/>
      <c r="O60" s="30"/>
      <c r="T60" s="19">
        <f>[1]NSE!T56</f>
        <v>0</v>
      </c>
    </row>
    <row r="61" spans="1:20">
      <c r="A61" s="13" t="s">
        <v>75</v>
      </c>
      <c r="B61" s="13">
        <v>9</v>
      </c>
      <c r="C61" s="13">
        <v>9</v>
      </c>
      <c r="D61" s="13">
        <v>9.1999999999999993</v>
      </c>
      <c r="E61" s="13">
        <v>8.9</v>
      </c>
      <c r="F61" s="13">
        <v>8.9</v>
      </c>
      <c r="G61" s="13">
        <v>-9.9999999999999645E-2</v>
      </c>
      <c r="H61" s="14">
        <v>-1.1111111111111072E-2</v>
      </c>
      <c r="I61" s="15">
        <v>1505</v>
      </c>
      <c r="J61" s="16">
        <v>8109485</v>
      </c>
      <c r="K61" s="16">
        <v>72999897.049999997</v>
      </c>
      <c r="N61" s="18"/>
      <c r="O61" s="30"/>
      <c r="T61" s="19">
        <f>[1]NSE!T57</f>
        <v>0</v>
      </c>
    </row>
    <row r="62" spans="1:20">
      <c r="A62" s="13" t="s">
        <v>76</v>
      </c>
      <c r="B62" s="13">
        <v>3.38</v>
      </c>
      <c r="C62" s="13">
        <v>3.38</v>
      </c>
      <c r="D62" s="13">
        <v>3.55</v>
      </c>
      <c r="E62" s="13">
        <v>3.37</v>
      </c>
      <c r="F62" s="13">
        <v>3.4</v>
      </c>
      <c r="G62" s="13">
        <v>2.0000000000000018E-2</v>
      </c>
      <c r="H62" s="14">
        <v>5.9171597633136397E-3</v>
      </c>
      <c r="I62" s="15">
        <v>410</v>
      </c>
      <c r="J62" s="16">
        <v>7000219</v>
      </c>
      <c r="K62" s="16">
        <v>23936412.300000001</v>
      </c>
      <c r="N62" s="18"/>
      <c r="O62" s="30"/>
      <c r="T62" s="19">
        <f>[1]NSE!T58</f>
        <v>0</v>
      </c>
    </row>
    <row r="63" spans="1:20">
      <c r="A63" s="13" t="s">
        <v>77</v>
      </c>
      <c r="B63" s="13">
        <v>310.8</v>
      </c>
      <c r="C63" s="13">
        <v>310.8</v>
      </c>
      <c r="D63" s="13">
        <v>0</v>
      </c>
      <c r="E63" s="13">
        <v>0</v>
      </c>
      <c r="F63" s="13">
        <v>310.8</v>
      </c>
      <c r="G63" s="13">
        <v>0</v>
      </c>
      <c r="H63" s="14">
        <v>0</v>
      </c>
      <c r="I63" s="15">
        <v>95</v>
      </c>
      <c r="J63" s="16">
        <v>127111</v>
      </c>
      <c r="K63" s="16">
        <v>35565657.799999997</v>
      </c>
      <c r="N63" s="18"/>
      <c r="O63" s="30"/>
      <c r="T63" s="19">
        <f>[1]NSE!T59</f>
        <v>0</v>
      </c>
    </row>
    <row r="64" spans="1:20">
      <c r="A64" s="13" t="s">
        <v>78</v>
      </c>
      <c r="B64" s="13">
        <v>14.9</v>
      </c>
      <c r="C64" s="13">
        <v>14.9</v>
      </c>
      <c r="D64" s="13">
        <v>0</v>
      </c>
      <c r="E64" s="13">
        <v>0</v>
      </c>
      <c r="F64" s="13">
        <v>14.9</v>
      </c>
      <c r="G64" s="13">
        <v>0</v>
      </c>
      <c r="H64" s="14">
        <v>0</v>
      </c>
      <c r="I64" s="15">
        <v>76</v>
      </c>
      <c r="J64" s="16">
        <v>66787</v>
      </c>
      <c r="K64" s="16">
        <v>946563.75</v>
      </c>
      <c r="N64" s="18"/>
      <c r="O64" s="30"/>
      <c r="T64" s="19">
        <f>[1]NSE!T60</f>
        <v>0</v>
      </c>
    </row>
    <row r="65" spans="1:20">
      <c r="A65" s="13" t="s">
        <v>79</v>
      </c>
      <c r="B65" s="13">
        <v>2.02</v>
      </c>
      <c r="C65" s="13">
        <v>2.02</v>
      </c>
      <c r="D65" s="13">
        <v>2.0699999999999998</v>
      </c>
      <c r="E65" s="13">
        <v>2.02</v>
      </c>
      <c r="F65" s="13">
        <v>2.0499999999999998</v>
      </c>
      <c r="G65" s="13">
        <v>2.9999999999999805E-2</v>
      </c>
      <c r="H65" s="14">
        <v>1.4851485148514865E-2</v>
      </c>
      <c r="I65" s="15">
        <v>77</v>
      </c>
      <c r="J65" s="16">
        <v>2986209</v>
      </c>
      <c r="K65" s="16">
        <v>6096615.9699999997</v>
      </c>
      <c r="N65" s="18"/>
      <c r="O65" s="30"/>
      <c r="T65" s="19">
        <f>[1]NSE!T61</f>
        <v>0</v>
      </c>
    </row>
    <row r="66" spans="1:20">
      <c r="A66" s="13" t="s">
        <v>36</v>
      </c>
      <c r="B66" s="13">
        <v>10.5</v>
      </c>
      <c r="C66" s="13">
        <v>10.5</v>
      </c>
      <c r="D66" s="13">
        <v>9.5</v>
      </c>
      <c r="E66" s="13">
        <v>9.4499999999999993</v>
      </c>
      <c r="F66" s="13">
        <v>9.4499999999999993</v>
      </c>
      <c r="G66" s="13">
        <v>-1.0500000000000007</v>
      </c>
      <c r="H66" s="14">
        <v>-0.10000000000000009</v>
      </c>
      <c r="I66" s="15">
        <v>104</v>
      </c>
      <c r="J66" s="16">
        <v>1209129</v>
      </c>
      <c r="K66" s="16">
        <v>11736189.65</v>
      </c>
      <c r="N66" s="18"/>
      <c r="O66" s="30"/>
      <c r="T66" s="19">
        <f>[1]NSE!T62</f>
        <v>0</v>
      </c>
    </row>
    <row r="67" spans="1:20">
      <c r="A67" s="13" t="s">
        <v>80</v>
      </c>
      <c r="B67" s="13">
        <v>6.1</v>
      </c>
      <c r="C67" s="13">
        <v>6.1</v>
      </c>
      <c r="D67" s="13">
        <v>6</v>
      </c>
      <c r="E67" s="13">
        <v>6</v>
      </c>
      <c r="F67" s="13">
        <v>6</v>
      </c>
      <c r="G67" s="13">
        <v>-9.9999999999999645E-2</v>
      </c>
      <c r="H67" s="14">
        <v>-1.6393442622950727E-2</v>
      </c>
      <c r="I67" s="15">
        <v>32</v>
      </c>
      <c r="J67" s="16">
        <v>862517</v>
      </c>
      <c r="K67" s="16">
        <v>5173717.3</v>
      </c>
      <c r="N67" s="18"/>
      <c r="O67" s="30"/>
      <c r="T67" s="19">
        <f>[1]NSE!T63</f>
        <v>0</v>
      </c>
    </row>
    <row r="68" spans="1:20">
      <c r="A68" s="13" t="s">
        <v>81</v>
      </c>
      <c r="B68" s="13">
        <v>1.85</v>
      </c>
      <c r="C68" s="13">
        <v>1.85</v>
      </c>
      <c r="D68" s="13">
        <v>1.85</v>
      </c>
      <c r="E68" s="13">
        <v>1.74</v>
      </c>
      <c r="F68" s="13">
        <v>1.74</v>
      </c>
      <c r="G68" s="13">
        <v>-0.1100000000000001</v>
      </c>
      <c r="H68" s="14">
        <v>-5.9459459459459518E-2</v>
      </c>
      <c r="I68" s="15">
        <v>152</v>
      </c>
      <c r="J68" s="16">
        <v>11038396</v>
      </c>
      <c r="K68" s="16">
        <v>19609892.43</v>
      </c>
      <c r="N68" s="18"/>
      <c r="O68" s="30"/>
      <c r="T68" s="19">
        <f>[1]NSE!T64</f>
        <v>0</v>
      </c>
    </row>
    <row r="69" spans="1:20">
      <c r="A69" s="13" t="s">
        <v>82</v>
      </c>
      <c r="B69" s="13">
        <v>8.9</v>
      </c>
      <c r="C69" s="13">
        <v>8.9</v>
      </c>
      <c r="D69" s="13">
        <v>9.3000000000000007</v>
      </c>
      <c r="E69" s="13">
        <v>8.5</v>
      </c>
      <c r="F69" s="13">
        <v>8.5</v>
      </c>
      <c r="G69" s="13">
        <v>-0.40000000000000036</v>
      </c>
      <c r="H69" s="14">
        <v>-4.49438202247191E-2</v>
      </c>
      <c r="I69" s="15">
        <v>222</v>
      </c>
      <c r="J69" s="16">
        <v>2799653</v>
      </c>
      <c r="K69" s="16">
        <v>24984641.5</v>
      </c>
      <c r="N69" s="18"/>
      <c r="O69" s="30"/>
      <c r="T69" s="19">
        <f>[1]NSE!T65</f>
        <v>0</v>
      </c>
    </row>
    <row r="70" spans="1:20">
      <c r="A70" s="13" t="s">
        <v>83</v>
      </c>
      <c r="B70" s="13">
        <v>3.95</v>
      </c>
      <c r="C70" s="13">
        <v>3.95</v>
      </c>
      <c r="D70" s="13">
        <v>0</v>
      </c>
      <c r="E70" s="13">
        <v>0</v>
      </c>
      <c r="F70" s="13">
        <v>3.95</v>
      </c>
      <c r="G70" s="13">
        <v>0</v>
      </c>
      <c r="H70" s="14">
        <v>0</v>
      </c>
      <c r="I70" s="15">
        <v>42</v>
      </c>
      <c r="J70" s="16">
        <v>456919</v>
      </c>
      <c r="K70" s="16">
        <v>1862745.18</v>
      </c>
      <c r="N70" s="18"/>
      <c r="O70" s="30"/>
      <c r="T70" s="19">
        <f>[1]NSE!T66</f>
        <v>0</v>
      </c>
    </row>
    <row r="71" spans="1:20">
      <c r="A71" s="13" t="s">
        <v>84</v>
      </c>
      <c r="B71" s="13">
        <v>13.5</v>
      </c>
      <c r="C71" s="13">
        <v>13.5</v>
      </c>
      <c r="D71" s="13">
        <v>0</v>
      </c>
      <c r="E71" s="13">
        <v>0</v>
      </c>
      <c r="F71" s="13">
        <v>13.5</v>
      </c>
      <c r="G71" s="13">
        <v>0</v>
      </c>
      <c r="H71" s="14">
        <v>0</v>
      </c>
      <c r="I71" s="15">
        <v>138</v>
      </c>
      <c r="J71" s="16">
        <v>1346758</v>
      </c>
      <c r="K71" s="16">
        <v>17872264.5</v>
      </c>
      <c r="N71" s="18"/>
      <c r="O71" s="30"/>
      <c r="T71" s="19">
        <f>[1]NSE!T67</f>
        <v>0</v>
      </c>
    </row>
    <row r="72" spans="1:20">
      <c r="A72" s="13" t="s">
        <v>85</v>
      </c>
      <c r="B72" s="13">
        <v>47</v>
      </c>
      <c r="C72" s="13">
        <v>47</v>
      </c>
      <c r="D72" s="13">
        <v>0</v>
      </c>
      <c r="E72" s="13">
        <v>0</v>
      </c>
      <c r="F72" s="13">
        <v>47</v>
      </c>
      <c r="G72" s="13">
        <v>0</v>
      </c>
      <c r="H72" s="14">
        <v>0</v>
      </c>
      <c r="I72" s="15">
        <v>479</v>
      </c>
      <c r="J72" s="16">
        <v>891198</v>
      </c>
      <c r="K72" s="16">
        <v>40603646.549999997</v>
      </c>
      <c r="L72" s="19"/>
      <c r="N72" s="18"/>
      <c r="O72" s="30"/>
      <c r="T72" s="19">
        <f>[1]NSE!T68</f>
        <v>0</v>
      </c>
    </row>
    <row r="73" spans="1:20">
      <c r="A73" s="13" t="s">
        <v>86</v>
      </c>
      <c r="B73" s="13">
        <v>4.12</v>
      </c>
      <c r="C73" s="13">
        <v>4.12</v>
      </c>
      <c r="D73" s="13">
        <v>4.2</v>
      </c>
      <c r="E73" s="13">
        <v>4.0999999999999996</v>
      </c>
      <c r="F73" s="13">
        <v>4.2</v>
      </c>
      <c r="G73" s="13">
        <v>8.0000000000000071E-2</v>
      </c>
      <c r="H73" s="14">
        <v>1.9417475728155331E-2</v>
      </c>
      <c r="I73" s="15">
        <v>248</v>
      </c>
      <c r="J73" s="16">
        <v>9474251</v>
      </c>
      <c r="K73" s="16">
        <v>38961770.240000002</v>
      </c>
      <c r="N73" s="18"/>
      <c r="O73" s="30"/>
      <c r="T73" s="19">
        <f>[1]NSE!T69</f>
        <v>0</v>
      </c>
    </row>
    <row r="74" spans="1:20">
      <c r="A74" s="13" t="s">
        <v>87</v>
      </c>
      <c r="B74" s="13">
        <v>94.9</v>
      </c>
      <c r="C74" s="13">
        <v>94.9</v>
      </c>
      <c r="D74" s="13">
        <v>0</v>
      </c>
      <c r="E74" s="13">
        <v>0</v>
      </c>
      <c r="F74" s="13">
        <v>94.9</v>
      </c>
      <c r="G74" s="13">
        <v>0</v>
      </c>
      <c r="H74" s="14">
        <v>0</v>
      </c>
      <c r="I74" s="15">
        <v>44</v>
      </c>
      <c r="J74" s="16">
        <v>16058</v>
      </c>
      <c r="K74" s="16">
        <v>1372156.1</v>
      </c>
      <c r="N74" s="18"/>
      <c r="O74" s="30"/>
      <c r="T74" s="19">
        <f>[1]NSE!T70</f>
        <v>0</v>
      </c>
    </row>
    <row r="75" spans="1:20">
      <c r="A75" s="13" t="s">
        <v>88</v>
      </c>
      <c r="B75" s="13">
        <v>20.6</v>
      </c>
      <c r="C75" s="13">
        <v>20.6</v>
      </c>
      <c r="D75" s="13">
        <v>0</v>
      </c>
      <c r="E75" s="13">
        <v>0</v>
      </c>
      <c r="F75" s="13">
        <v>20.6</v>
      </c>
      <c r="G75" s="13">
        <v>0</v>
      </c>
      <c r="H75" s="14">
        <v>0</v>
      </c>
      <c r="I75" s="15">
        <v>53</v>
      </c>
      <c r="J75" s="16">
        <v>108317</v>
      </c>
      <c r="K75" s="16">
        <v>2048512.4</v>
      </c>
      <c r="N75" s="18"/>
      <c r="O75" s="30"/>
      <c r="T75" s="19">
        <f>[1]NSE!T71</f>
        <v>0</v>
      </c>
    </row>
    <row r="76" spans="1:20">
      <c r="A76" s="13" t="s">
        <v>89</v>
      </c>
      <c r="B76" s="13">
        <v>100</v>
      </c>
      <c r="C76" s="13">
        <v>100</v>
      </c>
      <c r="D76" s="13">
        <v>0</v>
      </c>
      <c r="E76" s="13">
        <v>0</v>
      </c>
      <c r="F76" s="13">
        <v>100</v>
      </c>
      <c r="G76" s="13">
        <v>0</v>
      </c>
      <c r="H76" s="14">
        <v>0</v>
      </c>
      <c r="I76" s="15">
        <v>1</v>
      </c>
      <c r="J76" s="16">
        <v>1</v>
      </c>
      <c r="K76" s="16">
        <v>105</v>
      </c>
      <c r="N76" s="18"/>
      <c r="O76" s="30"/>
      <c r="T76" s="19">
        <f>[1]NSE!T72</f>
        <v>0</v>
      </c>
    </row>
    <row r="77" spans="1:20">
      <c r="A77" s="13" t="s">
        <v>90</v>
      </c>
      <c r="B77" s="13">
        <v>10.6</v>
      </c>
      <c r="C77" s="13">
        <v>10.6</v>
      </c>
      <c r="D77" s="13">
        <v>0</v>
      </c>
      <c r="E77" s="13">
        <v>0</v>
      </c>
      <c r="F77" s="13">
        <v>10.6</v>
      </c>
      <c r="G77" s="13">
        <v>0</v>
      </c>
      <c r="H77" s="14">
        <v>0</v>
      </c>
      <c r="I77" s="15">
        <v>6</v>
      </c>
      <c r="J77" s="16">
        <v>17070</v>
      </c>
      <c r="K77" s="16">
        <v>171606.05</v>
      </c>
      <c r="L77" s="31"/>
      <c r="N77" s="18"/>
      <c r="O77" s="30"/>
      <c r="T77" s="19">
        <f>[1]NSE!T73</f>
        <v>0</v>
      </c>
    </row>
    <row r="78" spans="1:20">
      <c r="A78" s="13" t="s">
        <v>91</v>
      </c>
      <c r="B78" s="13">
        <v>790</v>
      </c>
      <c r="C78" s="13">
        <v>790</v>
      </c>
      <c r="D78" s="13">
        <v>790</v>
      </c>
      <c r="E78" s="13">
        <v>790</v>
      </c>
      <c r="F78" s="13">
        <v>790</v>
      </c>
      <c r="G78" s="13">
        <v>0</v>
      </c>
      <c r="H78" s="14">
        <v>0</v>
      </c>
      <c r="I78" s="15">
        <v>4763</v>
      </c>
      <c r="J78" s="16">
        <v>12172918</v>
      </c>
      <c r="K78" s="16">
        <v>9627038049.4999905</v>
      </c>
      <c r="N78" s="18"/>
      <c r="O78" s="30"/>
      <c r="T78" s="19">
        <f>[1]NSE!T74</f>
        <v>0</v>
      </c>
    </row>
    <row r="79" spans="1:20">
      <c r="A79" s="13" t="s">
        <v>92</v>
      </c>
      <c r="B79" s="13">
        <v>25.5</v>
      </c>
      <c r="C79" s="13">
        <v>25.5</v>
      </c>
      <c r="D79" s="13">
        <v>0</v>
      </c>
      <c r="E79" s="13">
        <v>0</v>
      </c>
      <c r="F79" s="13">
        <v>25.5</v>
      </c>
      <c r="G79" s="13">
        <v>0</v>
      </c>
      <c r="H79" s="14">
        <v>0</v>
      </c>
      <c r="I79" s="15">
        <v>34</v>
      </c>
      <c r="J79" s="16">
        <v>20189</v>
      </c>
      <c r="K79" s="16">
        <v>463509.55</v>
      </c>
      <c r="N79" s="18"/>
      <c r="O79" s="30"/>
      <c r="T79" s="19">
        <f>[1]NSE!T75</f>
        <v>0</v>
      </c>
    </row>
    <row r="80" spans="1:20">
      <c r="A80" s="13" t="s">
        <v>39</v>
      </c>
      <c r="B80" s="13">
        <v>189.5</v>
      </c>
      <c r="C80" s="13">
        <v>189.5</v>
      </c>
      <c r="D80" s="13">
        <v>170.55</v>
      </c>
      <c r="E80" s="13">
        <v>170.55</v>
      </c>
      <c r="F80" s="13">
        <v>170.55</v>
      </c>
      <c r="G80" s="13">
        <v>-18.949999999999989</v>
      </c>
      <c r="H80" s="14">
        <v>-9.9999999999999978E-2</v>
      </c>
      <c r="I80" s="15">
        <v>537</v>
      </c>
      <c r="J80" s="16">
        <v>1847689</v>
      </c>
      <c r="K80" s="16">
        <v>315285131.69999999</v>
      </c>
      <c r="N80" s="18"/>
      <c r="O80" s="30"/>
      <c r="T80" s="19">
        <f>[1]NSE!T76</f>
        <v>0</v>
      </c>
    </row>
    <row r="81" spans="1:20">
      <c r="A81" s="13" t="s">
        <v>93</v>
      </c>
      <c r="B81" s="13">
        <v>219.5</v>
      </c>
      <c r="C81" s="13">
        <v>219.5</v>
      </c>
      <c r="D81" s="13">
        <v>0</v>
      </c>
      <c r="E81" s="13">
        <v>0</v>
      </c>
      <c r="F81" s="13">
        <v>219.5</v>
      </c>
      <c r="G81" s="13">
        <v>0</v>
      </c>
      <c r="H81" s="14">
        <v>0</v>
      </c>
      <c r="I81" s="15">
        <v>256</v>
      </c>
      <c r="J81" s="16">
        <v>298501</v>
      </c>
      <c r="K81" s="16">
        <v>59050751.600000001</v>
      </c>
      <c r="N81" s="18"/>
      <c r="O81" s="30"/>
      <c r="T81" s="19">
        <f>[1]NSE!T77</f>
        <v>0</v>
      </c>
    </row>
    <row r="82" spans="1:20">
      <c r="A82" s="13" t="s">
        <v>94</v>
      </c>
      <c r="B82" s="13">
        <v>81</v>
      </c>
      <c r="C82" s="13">
        <v>81</v>
      </c>
      <c r="D82" s="13">
        <v>81.5</v>
      </c>
      <c r="E82" s="13">
        <v>81.5</v>
      </c>
      <c r="F82" s="13">
        <v>81.5</v>
      </c>
      <c r="G82" s="13">
        <v>0.5</v>
      </c>
      <c r="H82" s="14">
        <v>6.1728395061728669E-3</v>
      </c>
      <c r="I82" s="15">
        <v>418</v>
      </c>
      <c r="J82" s="16">
        <v>6136135</v>
      </c>
      <c r="K82" s="16">
        <v>497144079.25</v>
      </c>
      <c r="N82" s="18"/>
      <c r="O82" s="30"/>
      <c r="T82" s="19">
        <f>[1]NSE!T78</f>
        <v>0</v>
      </c>
    </row>
    <row r="83" spans="1:20">
      <c r="A83" s="13" t="s">
        <v>95</v>
      </c>
      <c r="B83" s="13">
        <v>161.19999999999999</v>
      </c>
      <c r="C83" s="13">
        <v>161.19999999999999</v>
      </c>
      <c r="D83" s="13">
        <v>0</v>
      </c>
      <c r="E83" s="13">
        <v>0</v>
      </c>
      <c r="F83" s="13">
        <v>161.19999999999999</v>
      </c>
      <c r="G83" s="13">
        <v>0</v>
      </c>
      <c r="H83" s="14">
        <v>0</v>
      </c>
      <c r="I83" s="15">
        <v>15</v>
      </c>
      <c r="J83" s="16">
        <v>2096</v>
      </c>
      <c r="K83" s="16">
        <v>304298.8</v>
      </c>
      <c r="N83" s="18"/>
      <c r="O83" s="30"/>
      <c r="T83" s="19">
        <f>[1]NSE!T79</f>
        <v>0</v>
      </c>
    </row>
    <row r="84" spans="1:20">
      <c r="A84" s="13" t="s">
        <v>96</v>
      </c>
      <c r="B84" s="13">
        <v>10.1</v>
      </c>
      <c r="C84" s="13">
        <v>10.1</v>
      </c>
      <c r="D84" s="13">
        <v>10.4</v>
      </c>
      <c r="E84" s="13">
        <v>10</v>
      </c>
      <c r="F84" s="13">
        <v>10</v>
      </c>
      <c r="G84" s="13">
        <v>-9.9999999999999645E-2</v>
      </c>
      <c r="H84" s="14">
        <v>-9.9009900990099098E-3</v>
      </c>
      <c r="I84" s="15">
        <v>284</v>
      </c>
      <c r="J84" s="16">
        <v>2161260</v>
      </c>
      <c r="K84" s="16">
        <v>21859003.75</v>
      </c>
      <c r="N84" s="18"/>
      <c r="O84" s="30"/>
      <c r="T84" s="19">
        <f>[1]NSE!T80</f>
        <v>0</v>
      </c>
    </row>
    <row r="85" spans="1:20">
      <c r="A85" s="13" t="s">
        <v>26</v>
      </c>
      <c r="B85" s="13">
        <v>29.9</v>
      </c>
      <c r="C85" s="13">
        <v>29.9</v>
      </c>
      <c r="D85" s="13">
        <v>31.95</v>
      </c>
      <c r="E85" s="13">
        <v>31.4</v>
      </c>
      <c r="F85" s="13">
        <v>31.95</v>
      </c>
      <c r="G85" s="13">
        <v>2.0500000000000007</v>
      </c>
      <c r="H85" s="14">
        <v>6.8561872909699062E-2</v>
      </c>
      <c r="I85" s="15">
        <v>142</v>
      </c>
      <c r="J85" s="16">
        <v>1496302</v>
      </c>
      <c r="K85" s="16">
        <v>47091390.75</v>
      </c>
      <c r="N85" s="18"/>
      <c r="O85" s="30"/>
      <c r="T85" s="19">
        <f>[1]NSE!T81</f>
        <v>0</v>
      </c>
    </row>
    <row r="86" spans="1:20">
      <c r="A86" s="13" t="s">
        <v>97</v>
      </c>
      <c r="B86" s="39">
        <v>3125</v>
      </c>
      <c r="C86" s="39">
        <v>3125</v>
      </c>
      <c r="D86" s="13">
        <v>0</v>
      </c>
      <c r="E86" s="13">
        <v>0</v>
      </c>
      <c r="F86" s="39">
        <v>3125</v>
      </c>
      <c r="G86" s="13">
        <v>0</v>
      </c>
      <c r="H86" s="14">
        <v>0</v>
      </c>
      <c r="I86" s="15">
        <v>186</v>
      </c>
      <c r="J86" s="16">
        <v>111732</v>
      </c>
      <c r="K86" s="16">
        <v>318586749.69999999</v>
      </c>
      <c r="N86" s="18"/>
      <c r="O86" s="30"/>
      <c r="T86" s="19">
        <f>[1]NSE!T82</f>
        <v>0</v>
      </c>
    </row>
    <row r="87" spans="1:20">
      <c r="A87" s="13" t="s">
        <v>98</v>
      </c>
      <c r="B87" s="13">
        <v>137.1</v>
      </c>
      <c r="C87" s="13">
        <v>137.1</v>
      </c>
      <c r="D87" s="13">
        <v>137.1</v>
      </c>
      <c r="E87" s="13">
        <v>136</v>
      </c>
      <c r="F87" s="13">
        <v>137.1</v>
      </c>
      <c r="G87" s="13">
        <v>0</v>
      </c>
      <c r="H87" s="14">
        <v>0</v>
      </c>
      <c r="I87" s="15">
        <v>1152</v>
      </c>
      <c r="J87" s="16">
        <v>3301050</v>
      </c>
      <c r="K87" s="16">
        <v>445871883.64999998</v>
      </c>
      <c r="N87" s="18"/>
      <c r="O87" s="30"/>
      <c r="T87" s="19">
        <f>[1]NSE!T83</f>
        <v>0</v>
      </c>
    </row>
    <row r="88" spans="1:20">
      <c r="A88" s="13" t="s">
        <v>99</v>
      </c>
      <c r="B88" s="13">
        <v>129</v>
      </c>
      <c r="C88" s="13">
        <v>129</v>
      </c>
      <c r="D88" s="13">
        <v>0</v>
      </c>
      <c r="E88" s="13">
        <v>0</v>
      </c>
      <c r="F88" s="13">
        <v>129</v>
      </c>
      <c r="G88" s="13">
        <v>0</v>
      </c>
      <c r="H88" s="14">
        <v>0</v>
      </c>
      <c r="I88" s="15">
        <v>32</v>
      </c>
      <c r="J88" s="16">
        <v>6230</v>
      </c>
      <c r="K88" s="16">
        <v>884037</v>
      </c>
      <c r="N88" s="18"/>
      <c r="O88" s="30"/>
      <c r="T88" s="19">
        <f>[1]NSE!T84</f>
        <v>0</v>
      </c>
    </row>
    <row r="89" spans="1:20">
      <c r="A89" s="13" t="s">
        <v>100</v>
      </c>
      <c r="B89" s="13">
        <v>79.400000000000006</v>
      </c>
      <c r="C89" s="13">
        <v>79.400000000000006</v>
      </c>
      <c r="D89" s="13">
        <v>0</v>
      </c>
      <c r="E89" s="13">
        <v>0</v>
      </c>
      <c r="F89" s="13">
        <v>79.400000000000006</v>
      </c>
      <c r="G89" s="13">
        <v>0</v>
      </c>
      <c r="H89" s="14">
        <v>0</v>
      </c>
      <c r="I89" s="15">
        <v>10</v>
      </c>
      <c r="J89" s="16">
        <v>1660</v>
      </c>
      <c r="K89" s="16">
        <v>118690</v>
      </c>
      <c r="N89" s="18"/>
      <c r="O89" s="30"/>
      <c r="T89" s="19">
        <f>[1]NSE!T85</f>
        <v>0</v>
      </c>
    </row>
    <row r="90" spans="1:20">
      <c r="A90" s="13" t="s">
        <v>25</v>
      </c>
      <c r="B90" s="13">
        <v>5.0999999999999996</v>
      </c>
      <c r="C90" s="13">
        <v>5.0999999999999996</v>
      </c>
      <c r="D90" s="13">
        <v>5.5</v>
      </c>
      <c r="E90" s="13">
        <v>5.5</v>
      </c>
      <c r="F90" s="13">
        <v>5.5</v>
      </c>
      <c r="G90" s="13">
        <v>0.40000000000000036</v>
      </c>
      <c r="H90" s="14">
        <v>7.8431372549019773E-2</v>
      </c>
      <c r="I90" s="15">
        <v>183</v>
      </c>
      <c r="J90" s="16">
        <v>1715071</v>
      </c>
      <c r="K90" s="16">
        <v>9285558.3000000007</v>
      </c>
      <c r="N90" s="18"/>
      <c r="O90" s="30"/>
      <c r="T90" s="19">
        <f>[1]NSE!T86</f>
        <v>0</v>
      </c>
    </row>
    <row r="91" spans="1:20">
      <c r="A91" s="13" t="s">
        <v>101</v>
      </c>
      <c r="B91" s="13">
        <v>103</v>
      </c>
      <c r="C91" s="13">
        <v>103</v>
      </c>
      <c r="D91" s="13">
        <v>0</v>
      </c>
      <c r="E91" s="13">
        <v>0</v>
      </c>
      <c r="F91" s="13">
        <v>103</v>
      </c>
      <c r="G91" s="13">
        <v>0</v>
      </c>
      <c r="H91" s="14">
        <v>0</v>
      </c>
      <c r="I91" s="15">
        <v>22</v>
      </c>
      <c r="J91" s="16">
        <v>65407</v>
      </c>
      <c r="K91" s="16">
        <v>6693879.5999999996</v>
      </c>
      <c r="N91" s="18"/>
      <c r="O91" s="30"/>
      <c r="T91" s="19">
        <f>[1]NSE!T87</f>
        <v>0</v>
      </c>
    </row>
    <row r="92" spans="1:20">
      <c r="A92" s="13" t="s">
        <v>102</v>
      </c>
      <c r="B92" s="13">
        <v>0.88</v>
      </c>
      <c r="C92" s="13">
        <v>0.88</v>
      </c>
      <c r="D92" s="13">
        <v>0.88</v>
      </c>
      <c r="E92" s="13">
        <v>0.84</v>
      </c>
      <c r="F92" s="13">
        <v>0.84</v>
      </c>
      <c r="G92" s="13">
        <v>-4.0000000000000036E-2</v>
      </c>
      <c r="H92" s="14">
        <v>-4.5454545454545525E-2</v>
      </c>
      <c r="I92" s="15">
        <v>226</v>
      </c>
      <c r="J92" s="16">
        <v>7183540</v>
      </c>
      <c r="K92" s="16">
        <v>6222499.1399999997</v>
      </c>
      <c r="N92" s="18"/>
      <c r="O92" s="30"/>
      <c r="T92" s="19">
        <f>[1]NSE!T88</f>
        <v>0</v>
      </c>
    </row>
    <row r="93" spans="1:20">
      <c r="A93" s="13" t="s">
        <v>103</v>
      </c>
      <c r="B93" s="13">
        <v>51.8</v>
      </c>
      <c r="C93" s="13">
        <v>51.8</v>
      </c>
      <c r="D93" s="13">
        <v>53.95</v>
      </c>
      <c r="E93" s="13">
        <v>50</v>
      </c>
      <c r="F93" s="13">
        <v>50</v>
      </c>
      <c r="G93" s="13">
        <v>-1.7999999999999972</v>
      </c>
      <c r="H93" s="14">
        <v>-3.474903474903468E-2</v>
      </c>
      <c r="I93" s="15">
        <v>1018</v>
      </c>
      <c r="J93" s="16">
        <v>12720691</v>
      </c>
      <c r="K93" s="16">
        <v>655063173.64999998</v>
      </c>
      <c r="N93" s="18"/>
      <c r="O93" s="30"/>
      <c r="T93" s="19">
        <f>[1]NSE!T89</f>
        <v>0</v>
      </c>
    </row>
    <row r="94" spans="1:20">
      <c r="A94" s="13" t="s">
        <v>104</v>
      </c>
      <c r="B94" s="39">
        <v>1750</v>
      </c>
      <c r="C94" s="39">
        <v>1750</v>
      </c>
      <c r="D94" s="39">
        <v>1575</v>
      </c>
      <c r="E94" s="39">
        <v>1575</v>
      </c>
      <c r="F94" s="39">
        <v>1575</v>
      </c>
      <c r="G94" s="13">
        <v>-175</v>
      </c>
      <c r="H94" s="14">
        <v>-9.9999999999999978E-2</v>
      </c>
      <c r="I94" s="15">
        <v>716</v>
      </c>
      <c r="J94" s="16">
        <v>726462</v>
      </c>
      <c r="K94" s="16">
        <v>1144943671.5999999</v>
      </c>
      <c r="N94" s="18"/>
      <c r="O94" s="30"/>
      <c r="T94" s="19">
        <f>[1]NSE!T90</f>
        <v>0</v>
      </c>
    </row>
    <row r="95" spans="1:20" ht="15" customHeight="1">
      <c r="A95" s="13" t="s">
        <v>105</v>
      </c>
      <c r="B95" s="13">
        <v>2.15</v>
      </c>
      <c r="C95" s="13">
        <v>2.15</v>
      </c>
      <c r="D95" s="13">
        <v>2.1</v>
      </c>
      <c r="E95" s="13">
        <v>2.06</v>
      </c>
      <c r="F95" s="13">
        <v>2.1</v>
      </c>
      <c r="G95" s="13">
        <v>-4.9999999999999822E-2</v>
      </c>
      <c r="H95" s="14">
        <v>-2.3255813953488302E-2</v>
      </c>
      <c r="I95" s="15">
        <v>143</v>
      </c>
      <c r="J95" s="16">
        <v>2137451</v>
      </c>
      <c r="K95" s="16">
        <v>4481341.74</v>
      </c>
      <c r="N95" s="18"/>
      <c r="O95" s="30"/>
      <c r="T95" s="19">
        <f>[1]NSE!T91</f>
        <v>0</v>
      </c>
    </row>
    <row r="96" spans="1:20">
      <c r="A96" s="13" t="s">
        <v>106</v>
      </c>
      <c r="B96" s="13">
        <v>33.75</v>
      </c>
      <c r="C96" s="13">
        <v>33.75</v>
      </c>
      <c r="D96" s="13">
        <v>0</v>
      </c>
      <c r="E96" s="13">
        <v>0</v>
      </c>
      <c r="F96" s="13">
        <v>33.75</v>
      </c>
      <c r="G96" s="13">
        <v>0</v>
      </c>
      <c r="H96" s="14">
        <v>0</v>
      </c>
      <c r="I96" s="15">
        <v>11</v>
      </c>
      <c r="J96" s="16">
        <v>47528</v>
      </c>
      <c r="K96" s="16">
        <v>1444851.2</v>
      </c>
      <c r="N96" s="18"/>
      <c r="O96" s="30"/>
      <c r="T96" s="19">
        <f>[1]NSE!T92</f>
        <v>0</v>
      </c>
    </row>
    <row r="97" spans="1:20">
      <c r="A97" s="13" t="s">
        <v>107</v>
      </c>
      <c r="B97" s="39">
        <v>2300</v>
      </c>
      <c r="C97" s="39">
        <v>2300</v>
      </c>
      <c r="D97" s="13">
        <v>0</v>
      </c>
      <c r="E97" s="13">
        <v>0</v>
      </c>
      <c r="F97" s="39">
        <v>2300</v>
      </c>
      <c r="G97" s="13">
        <v>0</v>
      </c>
      <c r="H97" s="14">
        <v>0</v>
      </c>
      <c r="I97" s="15">
        <v>492</v>
      </c>
      <c r="J97" s="16">
        <v>277723</v>
      </c>
      <c r="K97" s="16">
        <v>575362133.29999995</v>
      </c>
      <c r="N97" s="18"/>
      <c r="O97" s="30"/>
      <c r="T97" s="19">
        <f>[1]NSE!T93</f>
        <v>0</v>
      </c>
    </row>
    <row r="98" spans="1:20">
      <c r="A98" s="13" t="s">
        <v>108</v>
      </c>
      <c r="B98" s="13">
        <v>1.5</v>
      </c>
      <c r="C98" s="13">
        <v>1.5</v>
      </c>
      <c r="D98" s="13">
        <v>0</v>
      </c>
      <c r="E98" s="13">
        <v>0</v>
      </c>
      <c r="F98" s="13">
        <v>1.5</v>
      </c>
      <c r="G98" s="13">
        <v>0</v>
      </c>
      <c r="H98" s="14">
        <v>0</v>
      </c>
      <c r="I98" s="15">
        <v>23</v>
      </c>
      <c r="J98" s="16">
        <v>161379</v>
      </c>
      <c r="K98" s="16">
        <v>237067.51</v>
      </c>
      <c r="N98" s="18"/>
      <c r="O98" s="30"/>
      <c r="T98" s="19">
        <f>[1]NSE!T94</f>
        <v>0</v>
      </c>
    </row>
    <row r="99" spans="1:20">
      <c r="A99" s="13" t="s">
        <v>109</v>
      </c>
      <c r="B99" s="13">
        <v>94.95</v>
      </c>
      <c r="C99" s="13">
        <v>94.95</v>
      </c>
      <c r="D99" s="13">
        <v>0</v>
      </c>
      <c r="E99" s="13">
        <v>0</v>
      </c>
      <c r="F99" s="13">
        <v>94.95</v>
      </c>
      <c r="G99" s="13">
        <v>0</v>
      </c>
      <c r="H99" s="14">
        <v>0</v>
      </c>
      <c r="I99" s="15">
        <v>225</v>
      </c>
      <c r="J99" s="16">
        <v>339138</v>
      </c>
      <c r="K99" s="16">
        <v>31049260.649999999</v>
      </c>
      <c r="N99" s="18"/>
      <c r="O99" s="30"/>
      <c r="T99" s="19">
        <f>[1]NSE!T95</f>
        <v>0</v>
      </c>
    </row>
    <row r="100" spans="1:20">
      <c r="A100" s="13" t="s">
        <v>110</v>
      </c>
      <c r="B100" s="13">
        <v>30.65</v>
      </c>
      <c r="C100" s="13">
        <v>30.65</v>
      </c>
      <c r="D100" s="13">
        <v>0</v>
      </c>
      <c r="E100" s="13">
        <v>0</v>
      </c>
      <c r="F100" s="13">
        <v>30.65</v>
      </c>
      <c r="G100" s="13">
        <v>0</v>
      </c>
      <c r="H100" s="14">
        <v>0</v>
      </c>
      <c r="I100" s="15">
        <v>17</v>
      </c>
      <c r="J100" s="16">
        <v>6540</v>
      </c>
      <c r="K100" s="16">
        <v>180604</v>
      </c>
      <c r="N100" s="18"/>
      <c r="O100" s="30"/>
      <c r="T100" s="19">
        <f>[1]NSE!T96</f>
        <v>0</v>
      </c>
    </row>
    <row r="101" spans="1:20">
      <c r="A101" s="13" t="s">
        <v>111</v>
      </c>
      <c r="B101" s="13">
        <v>1</v>
      </c>
      <c r="C101" s="13">
        <v>1</v>
      </c>
      <c r="D101" s="13">
        <v>1.08</v>
      </c>
      <c r="E101" s="13">
        <v>1</v>
      </c>
      <c r="F101" s="13">
        <v>1.01</v>
      </c>
      <c r="G101" s="13">
        <v>1.0000000000000009E-2</v>
      </c>
      <c r="H101" s="14">
        <v>1.0000000000000009E-2</v>
      </c>
      <c r="I101" s="15">
        <v>169</v>
      </c>
      <c r="J101" s="16">
        <v>5022578</v>
      </c>
      <c r="K101" s="16">
        <v>5154977.1399999997</v>
      </c>
      <c r="N101" s="18"/>
      <c r="O101" s="30"/>
      <c r="T101" s="19">
        <f>[1]NSE!T97</f>
        <v>0</v>
      </c>
    </row>
    <row r="102" spans="1:20">
      <c r="A102" s="13" t="s">
        <v>112</v>
      </c>
      <c r="B102" s="13">
        <v>1.52</v>
      </c>
      <c r="C102" s="13">
        <v>1.52</v>
      </c>
      <c r="D102" s="13">
        <v>1.55</v>
      </c>
      <c r="E102" s="13">
        <v>1.55</v>
      </c>
      <c r="F102" s="13">
        <v>1.55</v>
      </c>
      <c r="G102" s="13">
        <v>3.0000000000000027E-2</v>
      </c>
      <c r="H102" s="14">
        <v>1.9736842105263275E-2</v>
      </c>
      <c r="I102" s="15">
        <v>51</v>
      </c>
      <c r="J102" s="16">
        <v>1068418</v>
      </c>
      <c r="K102" s="16">
        <v>1660661.04</v>
      </c>
      <c r="N102" s="18"/>
      <c r="O102" s="30"/>
      <c r="T102" s="19">
        <f>[1]NSE!T98</f>
        <v>0</v>
      </c>
    </row>
    <row r="103" spans="1:20">
      <c r="A103" s="13" t="s">
        <v>113</v>
      </c>
      <c r="B103" s="13">
        <v>13.45</v>
      </c>
      <c r="C103" s="13">
        <v>13.45</v>
      </c>
      <c r="D103" s="13">
        <v>0</v>
      </c>
      <c r="E103" s="13">
        <v>0</v>
      </c>
      <c r="F103" s="13">
        <v>13.45</v>
      </c>
      <c r="G103" s="13">
        <v>0</v>
      </c>
      <c r="H103" s="14">
        <v>0</v>
      </c>
      <c r="I103" s="15">
        <v>157</v>
      </c>
      <c r="J103" s="16">
        <v>836751</v>
      </c>
      <c r="K103" s="16">
        <v>11066069.4</v>
      </c>
      <c r="N103" s="18"/>
      <c r="O103" s="30"/>
      <c r="T103" s="19">
        <f>[1]NSE!T99</f>
        <v>0</v>
      </c>
    </row>
    <row r="104" spans="1:20">
      <c r="A104" s="13" t="s">
        <v>114</v>
      </c>
      <c r="B104" s="13">
        <v>33.049999999999997</v>
      </c>
      <c r="C104" s="13">
        <v>33.049999999999997</v>
      </c>
      <c r="D104" s="13">
        <v>0</v>
      </c>
      <c r="E104" s="13">
        <v>0</v>
      </c>
      <c r="F104" s="13">
        <v>33.049999999999997</v>
      </c>
      <c r="G104" s="13">
        <v>0</v>
      </c>
      <c r="H104" s="14">
        <v>0</v>
      </c>
      <c r="I104" s="15">
        <v>26</v>
      </c>
      <c r="J104" s="16">
        <v>47885</v>
      </c>
      <c r="K104" s="16">
        <v>1424578.75</v>
      </c>
      <c r="N104" s="18"/>
      <c r="O104" s="30"/>
      <c r="T104" s="19">
        <f>[1]NSE!T100</f>
        <v>0</v>
      </c>
    </row>
    <row r="105" spans="1:20">
      <c r="A105" s="13" t="s">
        <v>115</v>
      </c>
      <c r="B105" s="39">
        <v>11363.9</v>
      </c>
      <c r="C105" s="39">
        <v>11363.9</v>
      </c>
      <c r="D105" s="13">
        <v>0</v>
      </c>
      <c r="E105" s="13">
        <v>0</v>
      </c>
      <c r="F105" s="13">
        <v>11363.9</v>
      </c>
      <c r="G105" s="13">
        <v>0</v>
      </c>
      <c r="H105" s="14">
        <v>0</v>
      </c>
      <c r="I105" s="15">
        <v>594</v>
      </c>
      <c r="J105" s="16">
        <v>86175</v>
      </c>
      <c r="K105" s="16">
        <v>936582667.29999995</v>
      </c>
      <c r="N105" s="18"/>
      <c r="O105" s="30"/>
      <c r="T105" s="19">
        <f>[1]NSE!T101</f>
        <v>0</v>
      </c>
    </row>
    <row r="106" spans="1:20">
      <c r="A106" s="13" t="s">
        <v>116</v>
      </c>
      <c r="B106" s="13">
        <v>155.75</v>
      </c>
      <c r="C106" s="13">
        <v>155.75</v>
      </c>
      <c r="D106" s="13">
        <v>0</v>
      </c>
      <c r="E106" s="13">
        <v>0</v>
      </c>
      <c r="F106" s="13">
        <v>155.75</v>
      </c>
      <c r="G106" s="13">
        <v>0</v>
      </c>
      <c r="H106" s="14">
        <v>0</v>
      </c>
      <c r="I106" s="15">
        <v>15</v>
      </c>
      <c r="J106" s="16">
        <v>2153</v>
      </c>
      <c r="K106" s="16">
        <v>301850.59999999998</v>
      </c>
      <c r="N106" s="18"/>
      <c r="O106" s="30"/>
      <c r="T106" s="19">
        <f>[1]NSE!T102</f>
        <v>0</v>
      </c>
    </row>
    <row r="107" spans="1:20">
      <c r="A107" s="13" t="s">
        <v>117</v>
      </c>
      <c r="B107" s="13">
        <v>2.66</v>
      </c>
      <c r="C107" s="13">
        <v>2.66</v>
      </c>
      <c r="D107" s="13">
        <v>2.65</v>
      </c>
      <c r="E107" s="13">
        <v>2.44</v>
      </c>
      <c r="F107" s="13">
        <v>2.5499999999999998</v>
      </c>
      <c r="G107" s="13">
        <v>-0.11000000000000032</v>
      </c>
      <c r="H107" s="14">
        <v>-4.1353383458646698E-2</v>
      </c>
      <c r="I107" s="15">
        <v>119</v>
      </c>
      <c r="J107" s="16">
        <v>4306767</v>
      </c>
      <c r="K107" s="16">
        <v>10752982.01</v>
      </c>
      <c r="N107" s="18"/>
      <c r="O107" s="30"/>
      <c r="T107" s="19">
        <f>[1]NSE!T103</f>
        <v>0</v>
      </c>
    </row>
    <row r="108" spans="1:20">
      <c r="A108" s="13" t="s">
        <v>118</v>
      </c>
      <c r="B108" s="13">
        <v>164.05</v>
      </c>
      <c r="C108" s="13">
        <v>164.05</v>
      </c>
      <c r="D108" s="13">
        <v>0</v>
      </c>
      <c r="E108" s="13">
        <v>0</v>
      </c>
      <c r="F108" s="13">
        <v>164.05</v>
      </c>
      <c r="G108" s="13">
        <v>0</v>
      </c>
      <c r="H108" s="14">
        <v>0</v>
      </c>
      <c r="I108" s="15">
        <v>368</v>
      </c>
      <c r="J108" s="16">
        <v>576095</v>
      </c>
      <c r="K108" s="16">
        <v>95128559.349999994</v>
      </c>
      <c r="N108" s="18"/>
      <c r="O108" s="30"/>
      <c r="T108" s="19">
        <f>[1]NSE!T104</f>
        <v>0</v>
      </c>
    </row>
    <row r="109" spans="1:20">
      <c r="A109" s="13" t="s">
        <v>119</v>
      </c>
      <c r="B109" s="13">
        <v>7.9</v>
      </c>
      <c r="C109" s="13">
        <v>7.9</v>
      </c>
      <c r="D109" s="13">
        <v>7.8</v>
      </c>
      <c r="E109" s="13">
        <v>7.25</v>
      </c>
      <c r="F109" s="13">
        <v>7.8</v>
      </c>
      <c r="G109" s="13">
        <v>-0.10000000000000053</v>
      </c>
      <c r="H109" s="14">
        <v>-1.2658227848101333E-2</v>
      </c>
      <c r="I109" s="15">
        <v>671</v>
      </c>
      <c r="J109" s="16">
        <v>715662507</v>
      </c>
      <c r="K109" s="16">
        <v>5407241681.3500004</v>
      </c>
      <c r="N109" s="18"/>
      <c r="O109" s="30"/>
      <c r="T109" s="19">
        <f>[1]NSE!T105</f>
        <v>0</v>
      </c>
    </row>
    <row r="110" spans="1:20">
      <c r="A110" s="13" t="s">
        <v>120</v>
      </c>
      <c r="B110" s="13">
        <v>4.0599999999999996</v>
      </c>
      <c r="C110" s="13">
        <v>4.0599999999999996</v>
      </c>
      <c r="D110" s="13">
        <v>4.0999999999999996</v>
      </c>
      <c r="E110" s="13">
        <v>4.0999999999999996</v>
      </c>
      <c r="F110" s="13">
        <v>4.0999999999999996</v>
      </c>
      <c r="G110" s="13">
        <v>4.0000000000000036E-2</v>
      </c>
      <c r="H110" s="14">
        <v>9.8522167487684609E-3</v>
      </c>
      <c r="I110" s="15">
        <v>43</v>
      </c>
      <c r="J110" s="16">
        <v>619926</v>
      </c>
      <c r="K110" s="16">
        <v>2532455.09</v>
      </c>
      <c r="N110" s="18"/>
      <c r="O110" s="30"/>
      <c r="T110" s="19">
        <f>[1]NSE!T106</f>
        <v>0</v>
      </c>
    </row>
    <row r="111" spans="1:20">
      <c r="A111" s="13" t="s">
        <v>51</v>
      </c>
      <c r="B111" s="13">
        <v>5</v>
      </c>
      <c r="C111" s="13">
        <v>5</v>
      </c>
      <c r="D111" s="13">
        <v>4.9000000000000004</v>
      </c>
      <c r="E111" s="13">
        <v>4.7</v>
      </c>
      <c r="F111" s="13">
        <v>4.7</v>
      </c>
      <c r="G111" s="13">
        <v>-0.29999999999999982</v>
      </c>
      <c r="H111" s="14">
        <v>-5.9999999999999942E-2</v>
      </c>
      <c r="I111" s="15">
        <v>447</v>
      </c>
      <c r="J111" s="16">
        <v>7458554</v>
      </c>
      <c r="K111" s="16">
        <v>35884886.219999999</v>
      </c>
      <c r="N111" s="18"/>
      <c r="O111" s="30"/>
      <c r="T111" s="19">
        <f>[1]NSE!T107</f>
        <v>0</v>
      </c>
    </row>
    <row r="112" spans="1:20">
      <c r="A112" s="13" t="s">
        <v>32</v>
      </c>
      <c r="B112" s="13">
        <v>32.15</v>
      </c>
      <c r="C112" s="13">
        <v>32.15</v>
      </c>
      <c r="D112" s="13">
        <v>35</v>
      </c>
      <c r="E112" s="13">
        <v>33</v>
      </c>
      <c r="F112" s="13">
        <v>33.25</v>
      </c>
      <c r="G112" s="13">
        <v>1.1000000000000014</v>
      </c>
      <c r="H112" s="14">
        <v>3.4214618973561484E-2</v>
      </c>
      <c r="I112" s="15">
        <v>1886</v>
      </c>
      <c r="J112" s="16">
        <v>13190964</v>
      </c>
      <c r="K112" s="16">
        <v>446228503.75</v>
      </c>
      <c r="N112" s="18"/>
      <c r="O112" s="30"/>
      <c r="T112" s="19">
        <f>[1]NSE!T108</f>
        <v>0</v>
      </c>
    </row>
    <row r="113" spans="1:22" ht="15.75" customHeight="1">
      <c r="A113" s="13" t="s">
        <v>121</v>
      </c>
      <c r="B113" s="13">
        <v>640</v>
      </c>
      <c r="C113" s="13">
        <v>640</v>
      </c>
      <c r="D113" s="13">
        <v>0</v>
      </c>
      <c r="E113" s="13">
        <v>0</v>
      </c>
      <c r="F113" s="13">
        <v>640</v>
      </c>
      <c r="G113" s="13">
        <v>0</v>
      </c>
      <c r="H113" s="14">
        <v>0</v>
      </c>
      <c r="I113" s="15">
        <v>61</v>
      </c>
      <c r="J113" s="16">
        <v>11515</v>
      </c>
      <c r="K113" s="16">
        <v>6632640</v>
      </c>
      <c r="N113" s="18"/>
      <c r="O113" s="30"/>
      <c r="T113" s="19">
        <f>[1]NSE!T109</f>
        <v>0</v>
      </c>
    </row>
    <row r="114" spans="1:22" ht="15.75" customHeight="1">
      <c r="A114" s="13" t="s">
        <v>122</v>
      </c>
      <c r="B114" s="13">
        <v>223.3</v>
      </c>
      <c r="C114" s="13">
        <v>223.3</v>
      </c>
      <c r="D114" s="13">
        <v>0</v>
      </c>
      <c r="E114" s="13">
        <v>0</v>
      </c>
      <c r="F114" s="13">
        <v>223.3</v>
      </c>
      <c r="G114" s="13">
        <v>0</v>
      </c>
      <c r="H114" s="14">
        <v>0</v>
      </c>
      <c r="I114" s="15">
        <v>132</v>
      </c>
      <c r="J114" s="16">
        <v>108068</v>
      </c>
      <c r="K114" s="16">
        <v>22374482.699999999</v>
      </c>
      <c r="N114" s="18"/>
      <c r="O114" s="30"/>
      <c r="T114" s="19">
        <f>[1]NSE!T110</f>
        <v>0</v>
      </c>
    </row>
    <row r="115" spans="1:22" ht="15.75" customHeight="1">
      <c r="A115" s="13" t="s">
        <v>123</v>
      </c>
      <c r="B115" s="13">
        <v>45.9</v>
      </c>
      <c r="C115" s="13">
        <v>45.9</v>
      </c>
      <c r="D115" s="13">
        <v>46.9</v>
      </c>
      <c r="E115" s="13">
        <v>46.9</v>
      </c>
      <c r="F115" s="13">
        <v>46.9</v>
      </c>
      <c r="G115" s="13">
        <v>1</v>
      </c>
      <c r="H115" s="14">
        <v>2.1786492374727739E-2</v>
      </c>
      <c r="I115" s="15">
        <v>314</v>
      </c>
      <c r="J115" s="16">
        <v>1296241</v>
      </c>
      <c r="K115" s="16">
        <v>59937032.450000003</v>
      </c>
      <c r="N115" s="18"/>
      <c r="O115" s="30"/>
      <c r="T115" s="19">
        <f>[1]NSE!T111</f>
        <v>0</v>
      </c>
    </row>
    <row r="116" spans="1:22" ht="15.75" customHeight="1">
      <c r="A116" s="13" t="s">
        <v>124</v>
      </c>
      <c r="B116" s="13">
        <v>4.9000000000000004</v>
      </c>
      <c r="C116" s="13">
        <v>4.9000000000000004</v>
      </c>
      <c r="D116" s="13">
        <v>4.41</v>
      </c>
      <c r="E116" s="13">
        <v>4.41</v>
      </c>
      <c r="F116" s="13">
        <v>4.41</v>
      </c>
      <c r="G116" s="13">
        <v>-0.49000000000000021</v>
      </c>
      <c r="H116" s="14">
        <v>-0.10000000000000009</v>
      </c>
      <c r="I116" s="15">
        <v>40</v>
      </c>
      <c r="J116" s="16">
        <v>430206</v>
      </c>
      <c r="K116" s="16">
        <v>1921481.51</v>
      </c>
      <c r="N116" s="18"/>
      <c r="O116" s="30"/>
      <c r="T116" s="19">
        <f>[1]NSE!T112</f>
        <v>0</v>
      </c>
    </row>
    <row r="117" spans="1:22" ht="15.75" customHeight="1">
      <c r="A117" s="13" t="s">
        <v>125</v>
      </c>
      <c r="B117" s="13">
        <v>245.5</v>
      </c>
      <c r="C117" s="13">
        <v>245.5</v>
      </c>
      <c r="D117" s="13">
        <v>0</v>
      </c>
      <c r="E117" s="13">
        <v>0</v>
      </c>
      <c r="F117" s="13">
        <v>245.5</v>
      </c>
      <c r="G117" s="13">
        <v>0</v>
      </c>
      <c r="H117" s="14">
        <v>0</v>
      </c>
      <c r="I117" s="15">
        <v>58</v>
      </c>
      <c r="J117" s="16">
        <v>42836</v>
      </c>
      <c r="K117" s="16">
        <v>9466756</v>
      </c>
      <c r="N117" s="18"/>
      <c r="O117" s="30"/>
      <c r="T117" s="19">
        <f>[1]NSE!T113</f>
        <v>0</v>
      </c>
    </row>
    <row r="118" spans="1:22" ht="12" customHeight="1">
      <c r="A118" s="13" t="s">
        <v>126</v>
      </c>
      <c r="B118" s="13">
        <v>4.37</v>
      </c>
      <c r="C118" s="13">
        <v>4.37</v>
      </c>
      <c r="D118" s="13">
        <v>0</v>
      </c>
      <c r="E118" s="13">
        <v>0</v>
      </c>
      <c r="F118" s="13">
        <v>4.37</v>
      </c>
      <c r="G118" s="13">
        <v>0</v>
      </c>
      <c r="H118" s="14">
        <v>0</v>
      </c>
      <c r="I118" s="15">
        <v>31</v>
      </c>
      <c r="J118" s="16">
        <v>105175</v>
      </c>
      <c r="K118" s="16">
        <v>493139.09</v>
      </c>
      <c r="N118" s="30"/>
      <c r="T118" s="19">
        <f>[1]NSE!T114</f>
        <v>0</v>
      </c>
    </row>
    <row r="119" spans="1:22">
      <c r="A119" s="13" t="s">
        <v>127</v>
      </c>
      <c r="B119" s="13">
        <v>184.5</v>
      </c>
      <c r="C119" s="13">
        <v>184.5</v>
      </c>
      <c r="D119" s="13">
        <v>184.85</v>
      </c>
      <c r="E119" s="13">
        <v>175</v>
      </c>
      <c r="F119" s="13">
        <v>184.85</v>
      </c>
      <c r="G119" s="13">
        <v>0.34999999999999432</v>
      </c>
      <c r="H119" s="14">
        <v>1.8970189701896789E-3</v>
      </c>
      <c r="I119" s="15">
        <v>328</v>
      </c>
      <c r="J119" s="16">
        <v>1167320</v>
      </c>
      <c r="K119" s="16">
        <v>211749072.55000001</v>
      </c>
      <c r="N119" s="30"/>
      <c r="T119" s="19">
        <f>[1]NSE!T115</f>
        <v>0</v>
      </c>
    </row>
    <row r="120" spans="1:22">
      <c r="A120" s="13" t="s">
        <v>128</v>
      </c>
      <c r="B120" s="13">
        <v>43.5</v>
      </c>
      <c r="C120" s="13">
        <v>43.5</v>
      </c>
      <c r="D120" s="13">
        <v>43.65</v>
      </c>
      <c r="E120" s="13">
        <v>43.25</v>
      </c>
      <c r="F120" s="13">
        <v>43.3</v>
      </c>
      <c r="G120" s="13">
        <v>-0.20000000000000284</v>
      </c>
      <c r="H120" s="14">
        <v>-4.5977011494253706E-3</v>
      </c>
      <c r="I120" s="15">
        <v>1528</v>
      </c>
      <c r="J120" s="16">
        <v>19608660</v>
      </c>
      <c r="K120" s="16">
        <v>852385524.75</v>
      </c>
      <c r="N120" s="30"/>
      <c r="T120" s="19">
        <f>[1]NSE!T116</f>
        <v>0</v>
      </c>
    </row>
    <row r="121" spans="1:22">
      <c r="A121" s="13" t="s">
        <v>129</v>
      </c>
      <c r="B121" s="13">
        <v>18.5</v>
      </c>
      <c r="C121" s="13">
        <v>18.5</v>
      </c>
      <c r="D121" s="13">
        <v>19</v>
      </c>
      <c r="E121" s="13">
        <v>18.100000000000001</v>
      </c>
      <c r="F121" s="13">
        <v>18.100000000000001</v>
      </c>
      <c r="G121" s="13">
        <v>-0.39999999999999858</v>
      </c>
      <c r="H121" s="14">
        <v>-2.1621621621621512E-2</v>
      </c>
      <c r="I121" s="15">
        <v>460</v>
      </c>
      <c r="J121" s="16">
        <v>10881658</v>
      </c>
      <c r="K121" s="16">
        <v>202108224.59999999</v>
      </c>
      <c r="N121" s="1"/>
      <c r="T121" s="19">
        <f>[1]NSE!T117</f>
        <v>0</v>
      </c>
    </row>
    <row r="122" spans="1:22">
      <c r="A122" s="13" t="s">
        <v>130</v>
      </c>
      <c r="B122" s="13">
        <v>156</v>
      </c>
      <c r="C122" s="13">
        <v>156</v>
      </c>
      <c r="D122" s="13">
        <v>140.4</v>
      </c>
      <c r="E122" s="13">
        <v>140.4</v>
      </c>
      <c r="F122" s="13">
        <v>140.4</v>
      </c>
      <c r="G122" s="13">
        <v>-15.599999999999994</v>
      </c>
      <c r="H122" s="14">
        <v>-9.9999999999999978E-2</v>
      </c>
      <c r="I122" s="15">
        <v>173</v>
      </c>
      <c r="J122" s="16">
        <v>1151493</v>
      </c>
      <c r="K122" s="16">
        <v>161669617.19999999</v>
      </c>
      <c r="N122" s="1"/>
      <c r="Q122" s="19"/>
      <c r="R122" s="19"/>
      <c r="S122" s="19"/>
      <c r="T122" s="19"/>
      <c r="U122" s="19"/>
      <c r="V122" s="19"/>
    </row>
    <row r="123" spans="1:22">
      <c r="A123" s="13" t="s">
        <v>131</v>
      </c>
      <c r="B123" s="13">
        <v>23.75</v>
      </c>
      <c r="C123" s="13">
        <v>23.75</v>
      </c>
      <c r="D123" s="13">
        <v>0</v>
      </c>
      <c r="E123" s="13">
        <v>0</v>
      </c>
      <c r="F123" s="13">
        <v>23.75</v>
      </c>
      <c r="G123" s="13">
        <v>0</v>
      </c>
      <c r="H123" s="14">
        <v>0</v>
      </c>
      <c r="I123" s="15">
        <v>10</v>
      </c>
      <c r="J123" s="16">
        <v>16397</v>
      </c>
      <c r="K123" s="16">
        <v>350895.8</v>
      </c>
      <c r="N123" s="1"/>
    </row>
    <row r="124" spans="1:22">
      <c r="A124" s="13" t="s">
        <v>132</v>
      </c>
      <c r="B124" s="13">
        <v>1.07</v>
      </c>
      <c r="C124" s="13">
        <v>1.07</v>
      </c>
      <c r="D124" s="13">
        <v>1.1200000000000001</v>
      </c>
      <c r="E124" s="13">
        <v>1.08</v>
      </c>
      <c r="F124" s="13">
        <v>1.1000000000000001</v>
      </c>
      <c r="G124" s="13">
        <v>3.0000000000000027E-2</v>
      </c>
      <c r="H124" s="14">
        <v>2.8037383177570208E-2</v>
      </c>
      <c r="I124" s="15">
        <v>181</v>
      </c>
      <c r="J124" s="16">
        <v>23274835</v>
      </c>
      <c r="K124" s="16">
        <v>25692872.34</v>
      </c>
      <c r="N124" s="1"/>
    </row>
    <row r="125" spans="1:22">
      <c r="A125" s="13" t="s">
        <v>133</v>
      </c>
      <c r="B125" s="13">
        <v>3.9</v>
      </c>
      <c r="C125" s="13">
        <v>3.9</v>
      </c>
      <c r="D125" s="13">
        <v>4</v>
      </c>
      <c r="E125" s="13">
        <v>3.85</v>
      </c>
      <c r="F125" s="13">
        <v>3.9</v>
      </c>
      <c r="G125" s="13">
        <v>0</v>
      </c>
      <c r="H125" s="14">
        <v>0</v>
      </c>
      <c r="I125" s="15">
        <v>191</v>
      </c>
      <c r="J125" s="16">
        <v>2978084</v>
      </c>
      <c r="K125" s="16">
        <v>11607021.949999999</v>
      </c>
    </row>
    <row r="126" spans="1:22">
      <c r="A126" s="13" t="s">
        <v>134</v>
      </c>
      <c r="B126" s="13">
        <v>5.15</v>
      </c>
      <c r="C126" s="13">
        <v>5.15</v>
      </c>
      <c r="D126" s="13">
        <v>5.15</v>
      </c>
      <c r="E126" s="13">
        <v>5.15</v>
      </c>
      <c r="F126" s="13">
        <v>5.15</v>
      </c>
      <c r="G126" s="13">
        <v>0</v>
      </c>
      <c r="H126" s="14">
        <v>0</v>
      </c>
      <c r="I126" s="15">
        <v>64</v>
      </c>
      <c r="J126" s="16">
        <v>417709</v>
      </c>
      <c r="K126" s="16">
        <v>2201778.65</v>
      </c>
    </row>
    <row r="127" spans="1:22">
      <c r="A127" s="13" t="s">
        <v>135</v>
      </c>
      <c r="B127" s="13">
        <v>1.62</v>
      </c>
      <c r="C127" s="13">
        <v>1.62</v>
      </c>
      <c r="D127" s="13">
        <v>1.74</v>
      </c>
      <c r="E127" s="13">
        <v>1.56</v>
      </c>
      <c r="F127" s="13">
        <v>1.64</v>
      </c>
      <c r="G127" s="13">
        <v>1.9999999999999796E-2</v>
      </c>
      <c r="H127" s="14">
        <v>1.2345679012345512E-2</v>
      </c>
      <c r="I127" s="15">
        <v>234</v>
      </c>
      <c r="J127" s="16">
        <v>29107591</v>
      </c>
      <c r="K127" s="16">
        <v>48035554.439999998</v>
      </c>
    </row>
    <row r="128" spans="1:22">
      <c r="A128" s="13" t="s">
        <v>136</v>
      </c>
      <c r="B128" s="13">
        <v>10.55</v>
      </c>
      <c r="C128" s="13">
        <v>10.55</v>
      </c>
      <c r="D128" s="13">
        <v>10.7</v>
      </c>
      <c r="E128" s="13">
        <v>10.15</v>
      </c>
      <c r="F128" s="13">
        <v>10.55</v>
      </c>
      <c r="G128" s="13">
        <v>0</v>
      </c>
      <c r="H128" s="14">
        <v>0</v>
      </c>
      <c r="I128" s="15">
        <v>384</v>
      </c>
      <c r="J128" s="16">
        <v>8074586</v>
      </c>
      <c r="K128" s="16">
        <v>83024293.849999994</v>
      </c>
    </row>
    <row r="129" spans="1:15">
      <c r="A129" s="13" t="s">
        <v>137</v>
      </c>
      <c r="B129" s="13">
        <v>194</v>
      </c>
      <c r="C129" s="13">
        <v>194</v>
      </c>
      <c r="D129" s="13">
        <v>0</v>
      </c>
      <c r="E129" s="13">
        <v>0</v>
      </c>
      <c r="F129" s="13">
        <v>194</v>
      </c>
      <c r="G129" s="13">
        <v>0</v>
      </c>
      <c r="H129" s="14">
        <v>0</v>
      </c>
      <c r="I129" s="15">
        <v>256</v>
      </c>
      <c r="J129" s="16">
        <v>471996</v>
      </c>
      <c r="K129" s="16">
        <v>85752233.75</v>
      </c>
    </row>
    <row r="130" spans="1:15">
      <c r="A130" s="13" t="s">
        <v>138</v>
      </c>
      <c r="B130" s="13">
        <v>330</v>
      </c>
      <c r="C130" s="13">
        <v>330</v>
      </c>
      <c r="D130" s="13">
        <v>0</v>
      </c>
      <c r="E130" s="13">
        <v>0</v>
      </c>
      <c r="F130" s="13">
        <v>330</v>
      </c>
      <c r="G130" s="13">
        <v>0</v>
      </c>
      <c r="H130" s="14">
        <v>0</v>
      </c>
      <c r="I130" s="15">
        <v>857</v>
      </c>
      <c r="J130" s="16">
        <v>1136253</v>
      </c>
      <c r="K130" s="16">
        <v>370535169.5</v>
      </c>
      <c r="N130" s="17"/>
      <c r="O130" s="18"/>
    </row>
    <row r="131" spans="1:15">
      <c r="A131" s="13" t="s">
        <v>139</v>
      </c>
      <c r="B131" s="13">
        <v>2.74</v>
      </c>
      <c r="C131" s="13">
        <v>2.74</v>
      </c>
      <c r="D131" s="13">
        <v>2.8</v>
      </c>
      <c r="E131" s="13">
        <v>2.72</v>
      </c>
      <c r="F131" s="13">
        <v>2.77</v>
      </c>
      <c r="G131" s="13">
        <v>2.9999999999999805E-2</v>
      </c>
      <c r="H131" s="14">
        <v>1.0948905109488871E-2</v>
      </c>
      <c r="I131" s="15">
        <v>122</v>
      </c>
      <c r="J131" s="16">
        <v>2983522</v>
      </c>
      <c r="K131" s="16">
        <v>8265707.0999999996</v>
      </c>
    </row>
    <row r="132" spans="1:15">
      <c r="A132" s="13" t="s">
        <v>140</v>
      </c>
      <c r="B132" s="13">
        <v>30.6</v>
      </c>
      <c r="C132" s="13">
        <v>30.6</v>
      </c>
      <c r="D132" s="13">
        <v>31</v>
      </c>
      <c r="E132" s="13">
        <v>30.5</v>
      </c>
      <c r="F132" s="13">
        <v>31</v>
      </c>
      <c r="G132" s="13">
        <v>0.39999999999999858</v>
      </c>
      <c r="H132" s="14">
        <v>1.3071895424836555E-2</v>
      </c>
      <c r="I132" s="15">
        <v>603</v>
      </c>
      <c r="J132" s="16">
        <v>4701898</v>
      </c>
      <c r="K132" s="16">
        <v>144841572.05000001</v>
      </c>
    </row>
    <row r="133" spans="1:15">
      <c r="A133" s="13" t="s">
        <v>141</v>
      </c>
      <c r="B133" s="13">
        <v>128.5</v>
      </c>
      <c r="C133" s="13">
        <v>128.5</v>
      </c>
      <c r="D133" s="13">
        <v>129</v>
      </c>
      <c r="E133" s="13">
        <v>127.1</v>
      </c>
      <c r="F133" s="13">
        <v>129</v>
      </c>
      <c r="G133" s="13">
        <v>0.5</v>
      </c>
      <c r="H133" s="14">
        <v>3.8910505836575737E-3</v>
      </c>
      <c r="I133" s="15">
        <v>3578</v>
      </c>
      <c r="J133" s="16">
        <v>26714150</v>
      </c>
      <c r="K133" s="16">
        <v>3421151843.8000002</v>
      </c>
    </row>
    <row r="134" spans="1:15">
      <c r="A134" s="32" t="s">
        <v>142</v>
      </c>
      <c r="B134" s="32">
        <v>30.85</v>
      </c>
      <c r="C134" s="32">
        <v>30.85</v>
      </c>
      <c r="D134" s="32">
        <v>32</v>
      </c>
      <c r="E134" s="32">
        <v>30.55</v>
      </c>
      <c r="F134" s="32">
        <v>30.65</v>
      </c>
      <c r="G134" s="32">
        <v>-0.20000000000000284</v>
      </c>
      <c r="H134" s="33">
        <v>-6.482982171799101E-3</v>
      </c>
      <c r="I134" s="34">
        <v>390</v>
      </c>
      <c r="J134" s="35">
        <v>2428065</v>
      </c>
      <c r="K134" s="35">
        <v>74647983.739999995</v>
      </c>
      <c r="L134" s="20"/>
      <c r="M134" s="20"/>
      <c r="N134" s="36"/>
      <c r="O134" s="20"/>
    </row>
    <row r="135" spans="1:15">
      <c r="A135" s="13"/>
      <c r="B135" s="13"/>
      <c r="C135" s="13"/>
      <c r="D135" s="13"/>
      <c r="E135" s="13"/>
      <c r="F135" s="13"/>
      <c r="G135" s="13"/>
      <c r="H135" s="14"/>
      <c r="I135" s="15"/>
      <c r="J135" s="16"/>
      <c r="K135" s="16"/>
    </row>
    <row r="136" spans="1:15">
      <c r="A136" s="13"/>
      <c r="B136" s="13"/>
      <c r="C136" s="13"/>
      <c r="D136" s="13"/>
      <c r="E136" s="13"/>
      <c r="F136" s="13"/>
      <c r="G136" s="13"/>
      <c r="H136" s="14"/>
      <c r="I136" s="15"/>
      <c r="J136" s="37"/>
      <c r="K136" s="37"/>
    </row>
    <row r="137" spans="1:15">
      <c r="A137" s="13"/>
      <c r="B137" s="13"/>
      <c r="C137" s="13"/>
      <c r="D137" s="13"/>
      <c r="E137" s="13"/>
      <c r="F137" s="13"/>
      <c r="G137" s="13"/>
      <c r="H137" s="14"/>
      <c r="I137" s="15"/>
      <c r="J137" s="37"/>
      <c r="K137" s="37"/>
    </row>
    <row r="138" spans="1:15">
      <c r="A138" s="13"/>
      <c r="B138" s="13"/>
      <c r="C138" s="13"/>
      <c r="D138" s="13"/>
      <c r="E138" s="13"/>
      <c r="F138" s="13"/>
      <c r="G138" s="13"/>
      <c r="H138" s="14"/>
      <c r="I138" s="15"/>
      <c r="J138" s="37"/>
      <c r="K138" s="37"/>
    </row>
    <row r="139" spans="1:15">
      <c r="A139" s="38"/>
      <c r="B139" s="38"/>
      <c r="C139" s="38"/>
      <c r="D139" s="38"/>
      <c r="E139" s="38"/>
      <c r="F139" s="38"/>
      <c r="G139" s="38"/>
      <c r="H139" s="28"/>
      <c r="I139" s="15"/>
      <c r="J139" s="37"/>
      <c r="K139" s="37"/>
    </row>
    <row r="140" spans="1:15">
      <c r="A140" s="13"/>
      <c r="B140" s="13"/>
      <c r="C140" s="13"/>
      <c r="D140" s="13"/>
      <c r="E140" s="13"/>
      <c r="F140" s="13"/>
      <c r="G140" s="13"/>
      <c r="H140" s="14"/>
      <c r="I140" s="15"/>
      <c r="J140" s="37"/>
      <c r="K140" s="37"/>
    </row>
    <row r="141" spans="1:15">
      <c r="A141" s="38"/>
      <c r="B141" s="38"/>
      <c r="C141" s="38"/>
      <c r="D141" s="38"/>
      <c r="E141" s="38"/>
      <c r="F141" s="38"/>
      <c r="G141" s="38"/>
      <c r="H141" s="28"/>
      <c r="I141" s="15"/>
      <c r="J141" s="37"/>
      <c r="K141" s="37"/>
    </row>
    <row r="142" spans="1:15">
      <c r="A142" s="13"/>
      <c r="B142" s="13"/>
      <c r="C142" s="13"/>
      <c r="D142" s="13"/>
      <c r="E142" s="13"/>
      <c r="F142" s="13"/>
      <c r="G142" s="13"/>
      <c r="H142" s="14"/>
      <c r="I142" s="15"/>
      <c r="J142" s="37"/>
      <c r="K142" s="37"/>
    </row>
    <row r="143" spans="1:15">
      <c r="A143" s="13"/>
      <c r="B143" s="13"/>
      <c r="C143" s="13"/>
      <c r="D143" s="13"/>
      <c r="E143" s="13"/>
      <c r="F143" s="13"/>
      <c r="G143" s="13"/>
      <c r="H143" s="14"/>
      <c r="I143" s="15"/>
      <c r="J143" s="37"/>
      <c r="K143" s="37"/>
    </row>
    <row r="144" spans="1:15">
      <c r="A144" s="13"/>
      <c r="B144" s="13"/>
      <c r="C144" s="13"/>
      <c r="D144" s="13"/>
      <c r="E144" s="13"/>
      <c r="F144" s="13"/>
      <c r="G144" s="13"/>
      <c r="H144" s="14"/>
      <c r="I144" s="15"/>
      <c r="J144" s="37"/>
      <c r="K144" s="37"/>
    </row>
    <row r="145" spans="1:11">
      <c r="A145" s="13"/>
      <c r="B145" s="13"/>
      <c r="C145" s="13"/>
      <c r="D145" s="13"/>
      <c r="E145" s="13"/>
      <c r="F145" s="13"/>
      <c r="G145" s="13"/>
      <c r="H145" s="14"/>
      <c r="I145" s="15"/>
      <c r="J145" s="37"/>
      <c r="K145" s="37"/>
    </row>
  </sheetData>
  <mergeCells count="4">
    <mergeCell ref="E1:K5"/>
    <mergeCell ref="S2:T2"/>
    <mergeCell ref="S3:T3"/>
    <mergeCell ref="S4:T4"/>
  </mergeCells>
  <conditionalFormatting sqref="A1:A1048576">
    <cfRule type="duplicateValues" dxfId="1" priority="1"/>
  </conditionalFormatting>
  <conditionalFormatting sqref="H7:H145">
    <cfRule type="cellIs" dxfId="0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1957EF9-D78F-459D-82F0-238B8432F22C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H7:H145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f997db-4b71-490f-b766-b7f2cb6f35a0" xsi:nil="true"/>
    <lcf76f155ced4ddcb4097134ff3c332f xmlns="9503e6fe-33d8-47c2-8075-c58ca1aeb9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E2D82DF333C43B72EAEEF3562D6DF" ma:contentTypeVersion="17" ma:contentTypeDescription="Create a new document." ma:contentTypeScope="" ma:versionID="5f4e770a6baa5764a10f7d300ebf0a15">
  <xsd:schema xmlns:xsd="http://www.w3.org/2001/XMLSchema" xmlns:xs="http://www.w3.org/2001/XMLSchema" xmlns:p="http://schemas.microsoft.com/office/2006/metadata/properties" xmlns:ns2="9503e6fe-33d8-47c2-8075-c58ca1aeb93a" xmlns:ns3="f8f997db-4b71-490f-b766-b7f2cb6f35a0" targetNamespace="http://schemas.microsoft.com/office/2006/metadata/properties" ma:root="true" ma:fieldsID="b3b7c916a96b94bf437be979e63555f0" ns2:_="" ns3:_="">
    <xsd:import namespace="9503e6fe-33d8-47c2-8075-c58ca1aeb93a"/>
    <xsd:import namespace="f8f997db-4b71-490f-b766-b7f2cb6f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3e6fe-33d8-47c2-8075-c58ca1aeb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720e8c-5e28-4ab8-b496-db1fd54d3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997db-4b71-490f-b766-b7f2cb6f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aa55e-3758-4f43-8d1b-b5534b69d260}" ma:internalName="TaxCatchAll" ma:showField="CatchAllData" ma:web="f8f997db-4b71-490f-b766-b7f2cb6f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933F7B-53B9-4B89-A8F4-CBDBA187340A}">
  <ds:schemaRefs>
    <ds:schemaRef ds:uri="http://schemas.microsoft.com/office/2006/metadata/properties"/>
    <ds:schemaRef ds:uri="http://schemas.microsoft.com/office/infopath/2007/PartnerControls"/>
    <ds:schemaRef ds:uri="f8f997db-4b71-490f-b766-b7f2cb6f35a0"/>
    <ds:schemaRef ds:uri="9503e6fe-33d8-47c2-8075-c58ca1aeb93a"/>
  </ds:schemaRefs>
</ds:datastoreItem>
</file>

<file path=customXml/itemProps2.xml><?xml version="1.0" encoding="utf-8"?>
<ds:datastoreItem xmlns:ds="http://schemas.openxmlformats.org/officeDocument/2006/customXml" ds:itemID="{326542A6-FD90-4142-92C7-C3DCD8185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069BF0-5650-4B40-85AD-6CF4F7E2F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03e6fe-33d8-47c2-8075-c58ca1aeb93a"/>
    <ds:schemaRef ds:uri="f8f997db-4b71-490f-b766-b7f2cb6f35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Osunkeye</dc:creator>
  <cp:lastModifiedBy>Damilola Osunkeye</cp:lastModifiedBy>
  <dcterms:created xsi:type="dcterms:W3CDTF">2026-06-09T15:19:37Z</dcterms:created>
  <dcterms:modified xsi:type="dcterms:W3CDTF">2026-06-09T16:21:03Z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0x010100C25E2D82DF333C43B72EAEEF3562D6DF</vt:lpwstr>
  </property>
</Properties>
</file>