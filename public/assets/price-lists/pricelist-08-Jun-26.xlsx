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hapelhilldenhamgroup.sharepoint.com/sites/Research600/Shared Documents/General/DMS - Nigeria/2026/June 2026/"/>
    </mc:Choice>
  </mc:AlternateContent>
  <xr:revisionPtr revIDLastSave="0" documentId="8_{E5D9DEAE-525C-4FF1-9199-F04A52441627}" xr6:coauthVersionLast="47" xr6:coauthVersionMax="47" xr10:uidLastSave="{00000000-0000-0000-0000-000000000000}"/>
  <bookViews>
    <workbookView xWindow="14400" yWindow="0" windowWidth="14400" windowHeight="15600" xr2:uid="{36EFC313-6B28-4ED2-BB6E-A8AE67CA72AD}"/>
  </bookViews>
  <sheets>
    <sheet name="DMS pricelist (16)" sheetId="1" r:id="rId1"/>
  </sheets>
  <externalReferences>
    <externalReference r:id="rId2"/>
  </externalReferences>
  <definedNames>
    <definedName name="_xlnm._FilterDatabase" localSheetId="0" hidden="1">'DMS pricelist (16)'!$A$6:$K$6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21" i="1" l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</calcChain>
</file>

<file path=xl/sharedStrings.xml><?xml version="1.0" encoding="utf-8"?>
<sst xmlns="http://schemas.openxmlformats.org/spreadsheetml/2006/main" count="165" uniqueCount="142">
  <si>
    <t xml:space="preserve"> </t>
  </si>
  <si>
    <t>PREV CLOSE</t>
  </si>
  <si>
    <t>OPEN</t>
  </si>
  <si>
    <t>HIGH</t>
  </si>
  <si>
    <t>LOW</t>
  </si>
  <si>
    <t>CLOSE</t>
  </si>
  <si>
    <t>Change</t>
  </si>
  <si>
    <t>% CHANGE</t>
  </si>
  <si>
    <t>DEALS</t>
  </si>
  <si>
    <t>VOLUME</t>
  </si>
  <si>
    <t>VALUE</t>
  </si>
  <si>
    <t>Top 10 Gainers</t>
  </si>
  <si>
    <r>
      <t>Price (</t>
    </r>
    <r>
      <rPr>
        <b/>
        <strike/>
        <sz val="6.5"/>
        <color rgb="FFFFFFFF"/>
        <rFont val="Calibri"/>
        <family val="2"/>
      </rPr>
      <t>N</t>
    </r>
    <r>
      <rPr>
        <b/>
        <sz val="6.5"/>
        <color rgb="FFFFFFFF"/>
        <rFont val="Calibri"/>
        <family val="2"/>
      </rPr>
      <t>)</t>
    </r>
  </si>
  <si>
    <t>%</t>
  </si>
  <si>
    <t>Top 10 Losers</t>
  </si>
  <si>
    <t>ABBEYBDS</t>
  </si>
  <si>
    <t>INTENEGINS</t>
  </si>
  <si>
    <t>ABCTRANS</t>
  </si>
  <si>
    <t>TIP</t>
  </si>
  <si>
    <t>ACADEMY</t>
  </si>
  <si>
    <t>ACCESSCORP</t>
  </si>
  <si>
    <t>AFRIPRUD</t>
  </si>
  <si>
    <t>HMCALL</t>
  </si>
  <si>
    <t>AIICO</t>
  </si>
  <si>
    <t>CONHALLPLC</t>
  </si>
  <si>
    <t>AIRTELAFRI</t>
  </si>
  <si>
    <t>LINKASSURE</t>
  </si>
  <si>
    <t>ALEX</t>
  </si>
  <si>
    <t>OANDO</t>
  </si>
  <si>
    <t>ARADEL</t>
  </si>
  <si>
    <t>TANTALIZER</t>
  </si>
  <si>
    <t>AUSTINLAZ</t>
  </si>
  <si>
    <t>FCMB</t>
  </si>
  <si>
    <t>BERGER</t>
  </si>
  <si>
    <t>BETAGLAS</t>
  </si>
  <si>
    <t>BUACEMENT</t>
  </si>
  <si>
    <t>FIDSON</t>
  </si>
  <si>
    <t>BUAFOODS</t>
  </si>
  <si>
    <t>CADBURY</t>
  </si>
  <si>
    <t>RTBRISCOE</t>
  </si>
  <si>
    <t>CAP</t>
  </si>
  <si>
    <t>SUNUASSUR</t>
  </si>
  <si>
    <t>CAVERTON</t>
  </si>
  <si>
    <t>LEARNAFRCA</t>
  </si>
  <si>
    <t>CHAMPION</t>
  </si>
  <si>
    <t>DAARCOMM</t>
  </si>
  <si>
    <t>CHAMS</t>
  </si>
  <si>
    <t>IKEJAHOTEL</t>
  </si>
  <si>
    <t>CILEASING</t>
  </si>
  <si>
    <t>NPFMCRFBK</t>
  </si>
  <si>
    <t>CNIF</t>
  </si>
  <si>
    <t>CUTIX</t>
  </si>
  <si>
    <t>FTGINSURE</t>
  </si>
  <si>
    <t>CONOIL</t>
  </si>
  <si>
    <t>CORNERST</t>
  </si>
  <si>
    <t>CUSTODIAN</t>
  </si>
  <si>
    <t>CWG</t>
  </si>
  <si>
    <t>DANGCEM</t>
  </si>
  <si>
    <t>DANGSUGAR</t>
  </si>
  <si>
    <t>DEAPCAP</t>
  </si>
  <si>
    <t>ELLAHLAKES</t>
  </si>
  <si>
    <t>ENAMELWA</t>
  </si>
  <si>
    <t>ETERNA</t>
  </si>
  <si>
    <t>ETI</t>
  </si>
  <si>
    <t>ETRANZACT</t>
  </si>
  <si>
    <t>EUNISELL</t>
  </si>
  <si>
    <t>FIDELITYBK</t>
  </si>
  <si>
    <t>FIRSTHOLDCO</t>
  </si>
  <si>
    <t>FTNCOCOA</t>
  </si>
  <si>
    <t>GEREGU</t>
  </si>
  <si>
    <t>GTCO</t>
  </si>
  <si>
    <t>GUINEAINS</t>
  </si>
  <si>
    <t>GUINNESS</t>
  </si>
  <si>
    <t>HONYFLOUR</t>
  </si>
  <si>
    <t>IMG</t>
  </si>
  <si>
    <t>INFINITY</t>
  </si>
  <si>
    <t>INTBREW</t>
  </si>
  <si>
    <t>JAIZBANK</t>
  </si>
  <si>
    <t>JAPAULGOLD</t>
  </si>
  <si>
    <t>JBERGER</t>
  </si>
  <si>
    <t>JOHNHOLT</t>
  </si>
  <si>
    <t>LASACO</t>
  </si>
  <si>
    <t>LEGENDINT</t>
  </si>
  <si>
    <t>LIVESTOCK</t>
  </si>
  <si>
    <t>LIVINGTRUST</t>
  </si>
  <si>
    <t>MANSARD</t>
  </si>
  <si>
    <t>MAYBAKER</t>
  </si>
  <si>
    <t>MBENEFIT</t>
  </si>
  <si>
    <t>MECURE</t>
  </si>
  <si>
    <t>MEYER</t>
  </si>
  <si>
    <t>MORISON</t>
  </si>
  <si>
    <t>MTNN</t>
  </si>
  <si>
    <t>MULTIVERSE</t>
  </si>
  <si>
    <t>NAHCO</t>
  </si>
  <si>
    <t>NASCON</t>
  </si>
  <si>
    <t>NB</t>
  </si>
  <si>
    <t>NCR</t>
  </si>
  <si>
    <t>NEIMETH</t>
  </si>
  <si>
    <t>NEM</t>
  </si>
  <si>
    <t>NESTLE</t>
  </si>
  <si>
    <t>NGXGROUP</t>
  </si>
  <si>
    <t>NIDF</t>
  </si>
  <si>
    <t>NNFM</t>
  </si>
  <si>
    <t>NREIT</t>
  </si>
  <si>
    <t>NSLTECH</t>
  </si>
  <si>
    <t>OKOMUOIL</t>
  </si>
  <si>
    <t>OMATEK</t>
  </si>
  <si>
    <t>PREMPAINTS</t>
  </si>
  <si>
    <t>PRESCO</t>
  </si>
  <si>
    <t>PRESTIGE</t>
  </si>
  <si>
    <t>PZ</t>
  </si>
  <si>
    <t>REDSTAREX</t>
  </si>
  <si>
    <t>REGALINS</t>
  </si>
  <si>
    <t>ROYALEX</t>
  </si>
  <si>
    <t>SCOA</t>
  </si>
  <si>
    <t>SEPLAT</t>
  </si>
  <si>
    <t>SKYAVN</t>
  </si>
  <si>
    <t>SOVRENINS</t>
  </si>
  <si>
    <t>STANBIC</t>
  </si>
  <si>
    <t>STERLINGNG</t>
  </si>
  <si>
    <t>TOTAL</t>
  </si>
  <si>
    <t>TRANSCOHOT</t>
  </si>
  <si>
    <t>TRANSCORP</t>
  </si>
  <si>
    <t>TRANSEXPR</t>
  </si>
  <si>
    <t>TRANSPOWER</t>
  </si>
  <si>
    <t>TRIPPLEG</t>
  </si>
  <si>
    <t>UACN</t>
  </si>
  <si>
    <t>UBA</t>
  </si>
  <si>
    <t>UCAP</t>
  </si>
  <si>
    <t>UNILEVER</t>
  </si>
  <si>
    <t>UNIONDICON</t>
  </si>
  <si>
    <t>UNIVINSURE</t>
  </si>
  <si>
    <t>UPDC</t>
  </si>
  <si>
    <t>UPL</t>
  </si>
  <si>
    <t>VERITASKAP</t>
  </si>
  <si>
    <t>VFDGROUP</t>
  </si>
  <si>
    <t>VITAFOAM</t>
  </si>
  <si>
    <t>WAPCO</t>
  </si>
  <si>
    <t>WAPIC</t>
  </si>
  <si>
    <t>WEMABANK</t>
  </si>
  <si>
    <t>ZENITHBANK</t>
  </si>
  <si>
    <t>ZICHIS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</si>
</sst>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Pricelist for&quot;\ dd\ mmmm\ yyyy"/>
    <numFmt numFmtId="165" formatCode="0.0%"/>
    <numFmt numFmtId="166" formatCode="[$-809]dd\ mmmm\ yyyy;@"/>
    <numFmt numFmtId="167" formatCode="_-* #,##0.00_-;\-* #,##0.00_-;_-* &quot;-&quot;??_-;_-@_-"/>
    <numFmt numFmtId="168" formatCode="_(* #,##0_);_(* \(#,##0\);_(* &quot;-&quot;??_);_(@_)"/>
    <numFmt numFmtId="169" formatCode="0.00;0.00;"/>
    <numFmt numFmtId="170" formatCode="\+0.00;\-0.00;0.00"/>
    <numFmt numFmtId="171" formatCode="\+0.00;\(0.00\);0.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Verdana"/>
      <family val="2"/>
    </font>
    <font>
      <b/>
      <sz val="14"/>
      <color rgb="FFB67037"/>
      <name val="Calibri"/>
      <family val="2"/>
      <scheme val="minor"/>
    </font>
    <font>
      <b/>
      <sz val="5"/>
      <color indexed="9"/>
      <name val="Calibri"/>
      <family val="2"/>
      <scheme val="minor"/>
    </font>
    <font>
      <sz val="12"/>
      <name val="LondonBetween"/>
    </font>
    <font>
      <sz val="10"/>
      <name val="Book Antiqua"/>
      <family val="1"/>
    </font>
    <font>
      <sz val="5"/>
      <name val="Book Antiqua"/>
      <family val="1"/>
    </font>
    <font>
      <b/>
      <strike/>
      <sz val="6.5"/>
      <color rgb="FFFFFFFF"/>
      <name val="Calibri"/>
      <family val="2"/>
    </font>
    <font>
      <b/>
      <sz val="6.5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0253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7" fontId="1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164" fontId="4" fillId="2" borderId="0" xfId="3" applyNumberFormat="1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5" fillId="2" borderId="0" xfId="3" applyFont="1" applyFill="1" applyAlignment="1">
      <alignment horizontal="left"/>
    </xf>
    <xf numFmtId="0" fontId="5" fillId="2" borderId="0" xfId="3" applyFont="1" applyFill="1" applyAlignment="1">
      <alignment horizontal="right"/>
    </xf>
    <xf numFmtId="165" fontId="6" fillId="2" borderId="0" xfId="0" applyNumberFormat="1" applyFont="1" applyFill="1" applyAlignment="1">
      <alignment horizontal="right"/>
    </xf>
    <xf numFmtId="0" fontId="7" fillId="2" borderId="0" xfId="0" applyFont="1" applyFill="1"/>
    <xf numFmtId="166" fontId="6" fillId="2" borderId="0" xfId="0" applyNumberFormat="1" applyFont="1" applyFill="1" applyAlignment="1">
      <alignment horizontal="right"/>
    </xf>
    <xf numFmtId="0" fontId="8" fillId="2" borderId="0" xfId="0" applyFont="1" applyFill="1"/>
    <xf numFmtId="165" fontId="8" fillId="2" borderId="0" xfId="0" applyNumberFormat="1" applyFont="1" applyFill="1"/>
    <xf numFmtId="165" fontId="8" fillId="2" borderId="0" xfId="0" applyNumberFormat="1" applyFont="1" applyFill="1" applyAlignment="1">
      <alignment horizontal="right"/>
    </xf>
    <xf numFmtId="167" fontId="2" fillId="3" borderId="0" xfId="4" applyFont="1" applyFill="1" applyBorder="1" applyAlignment="1"/>
    <xf numFmtId="167" fontId="2" fillId="3" borderId="0" xfId="4" applyFont="1" applyFill="1" applyBorder="1" applyAlignment="1">
      <alignment horizontal="right"/>
    </xf>
    <xf numFmtId="167" fontId="2" fillId="3" borderId="0" xfId="4" applyFont="1" applyFill="1" applyBorder="1" applyAlignment="1">
      <alignment horizontal="left"/>
    </xf>
    <xf numFmtId="167" fontId="2" fillId="3" borderId="0" xfId="4" applyFont="1" applyFill="1" applyBorder="1" applyAlignment="1">
      <alignment horizontal="center"/>
    </xf>
    <xf numFmtId="2" fontId="0" fillId="2" borderId="0" xfId="1" applyNumberFormat="1" applyFont="1" applyFill="1" applyBorder="1"/>
    <xf numFmtId="10" fontId="0" fillId="2" borderId="0" xfId="2" applyNumberFormat="1" applyFont="1" applyFill="1" applyBorder="1"/>
    <xf numFmtId="1" fontId="0" fillId="2" borderId="0" xfId="0" applyNumberFormat="1" applyFill="1" applyAlignment="1">
      <alignment horizontal="center"/>
    </xf>
    <xf numFmtId="168" fontId="0" fillId="2" borderId="0" xfId="1" applyNumberFormat="1" applyFont="1" applyFill="1" applyBorder="1" applyAlignment="1">
      <alignment horizontal="right"/>
    </xf>
    <xf numFmtId="2" fontId="0" fillId="2" borderId="0" xfId="0" applyNumberFormat="1" applyFill="1" applyAlignment="1">
      <alignment horizontal="center"/>
    </xf>
    <xf numFmtId="2" fontId="0" fillId="2" borderId="0" xfId="0" applyNumberFormat="1" applyFill="1"/>
    <xf numFmtId="169" fontId="0" fillId="2" borderId="0" xfId="0" applyNumberFormat="1" applyFill="1"/>
    <xf numFmtId="0" fontId="0" fillId="2" borderId="1" xfId="0" applyFill="1" applyBorder="1"/>
    <xf numFmtId="2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/>
    <xf numFmtId="2" fontId="0" fillId="2" borderId="0" xfId="1" applyNumberFormat="1" applyFont="1" applyFill="1" applyBorder="1" applyAlignment="1">
      <alignment horizontal="center"/>
    </xf>
    <xf numFmtId="2" fontId="0" fillId="2" borderId="1" xfId="1" applyNumberFormat="1" applyFont="1" applyFill="1" applyBorder="1" applyAlignment="1">
      <alignment horizontal="center"/>
    </xf>
    <xf numFmtId="169" fontId="0" fillId="2" borderId="1" xfId="0" applyNumberFormat="1" applyFill="1" applyBorder="1"/>
    <xf numFmtId="170" fontId="0" fillId="2" borderId="0" xfId="0" applyNumberFormat="1" applyFill="1"/>
    <xf numFmtId="2" fontId="0" fillId="2" borderId="0" xfId="0" applyNumberFormat="1" applyFill="1" applyAlignment="1">
      <alignment horizontal="right"/>
    </xf>
    <xf numFmtId="10" fontId="0" fillId="2" borderId="0" xfId="2" applyNumberFormat="1" applyFont="1" applyFill="1"/>
    <xf numFmtId="10" fontId="0" fillId="2" borderId="0" xfId="2" applyNumberFormat="1" applyFont="1" applyFill="1" applyAlignment="1">
      <alignment horizontal="right"/>
    </xf>
    <xf numFmtId="171" fontId="0" fillId="2" borderId="0" xfId="0" applyNumberFormat="1" applyFill="1"/>
    <xf numFmtId="4" fontId="0" fillId="2" borderId="0" xfId="0" applyNumberFormat="1" applyFill="1"/>
    <xf numFmtId="2" fontId="0" fillId="2" borderId="1" xfId="1" applyNumberFormat="1" applyFont="1" applyFill="1" applyBorder="1"/>
    <xf numFmtId="10" fontId="0" fillId="2" borderId="1" xfId="2" applyNumberFormat="1" applyFont="1" applyFill="1" applyBorder="1"/>
    <xf numFmtId="1" fontId="0" fillId="2" borderId="1" xfId="0" applyNumberFormat="1" applyFill="1" applyBorder="1" applyAlignment="1">
      <alignment horizontal="center"/>
    </xf>
    <xf numFmtId="168" fontId="0" fillId="2" borderId="1" xfId="1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68" fontId="0" fillId="2" borderId="0" xfId="1" applyNumberFormat="1" applyFont="1" applyFill="1" applyAlignment="1">
      <alignment horizontal="right"/>
    </xf>
    <xf numFmtId="2" fontId="0" fillId="2" borderId="0" xfId="1" applyNumberFormat="1" applyFont="1" applyFill="1"/>
  </cellXfs>
  <cellStyles count="5">
    <cellStyle name="Comma" xfId="1" builtinId="3"/>
    <cellStyle name="Comma 11 13 2" xfId="4" xr:uid="{DA7A920E-FB33-4A3D-A2AA-983FF79C23C1}"/>
    <cellStyle name="Normal" xfId="0" builtinId="0"/>
    <cellStyle name="Normal 5 10" xfId="3" xr:uid="{E558DA18-3CF8-431F-A93F-BEF987E5025E}"/>
    <cellStyle name="Percent" xfId="2" builtinId="5"/>
  </cellStyles>
  <dxfs count="2"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105815</xdr:rowOff>
    </xdr:from>
    <xdr:ext cx="8816138" cy="52416"/>
    <xdr:pic>
      <xdr:nvPicPr>
        <xdr:cNvPr id="2" name="Picture 1">
          <a:extLst>
            <a:ext uri="{FF2B5EF4-FFF2-40B4-BE49-F238E27FC236}">
              <a16:creationId xmlns:a16="http://schemas.microsoft.com/office/drawing/2014/main" id="{30DCEB6B-B547-4E91-B829-947710072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815"/>
          <a:ext cx="8816138" cy="52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134470</xdr:colOff>
      <xdr:row>0</xdr:row>
      <xdr:rowOff>78441</xdr:rowOff>
    </xdr:from>
    <xdr:ext cx="2247916" cy="812800"/>
    <xdr:pic>
      <xdr:nvPicPr>
        <xdr:cNvPr id="3" name="Picture 2">
          <a:extLst>
            <a:ext uri="{FF2B5EF4-FFF2-40B4-BE49-F238E27FC236}">
              <a16:creationId xmlns:a16="http://schemas.microsoft.com/office/drawing/2014/main" id="{DB986C7A-D161-408A-9987-16837B35B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78441"/>
          <a:ext cx="2247916" cy="8128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105815</xdr:rowOff>
    </xdr:from>
    <xdr:ext cx="8779351" cy="52416"/>
    <xdr:pic>
      <xdr:nvPicPr>
        <xdr:cNvPr id="4" name="Picture 3">
          <a:extLst>
            <a:ext uri="{FF2B5EF4-FFF2-40B4-BE49-F238E27FC236}">
              <a16:creationId xmlns:a16="http://schemas.microsoft.com/office/drawing/2014/main" id="{F820B22B-D1AC-41BC-A6B6-FA64A1EA4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815"/>
          <a:ext cx="8779351" cy="52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aily%20data/Pricelist%20Template%202026.xlsx" TargetMode="External"/><Relationship Id="rId2" Type="http://schemas.openxmlformats.org/officeDocument/2006/relationships/externalLinkPath" Target="https://chapelhilldenhamgroup.sharepoint.com/sites/Research600/Shared%20Documents/Daily%20data/Pricelist%20Template%202026.xlsx" TargetMode="External"/><Relationship Id="rId1" Type="http://schemas.openxmlformats.org/officeDocument/2006/relationships/externalLinkPath" Target="/sites/Research600/Shared%20Documents/Daily%20data/Pricelist%20Templat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3009"/>
      <sheetName val="0210"/>
      <sheetName val="0310"/>
      <sheetName val="0410"/>
      <sheetName val="0710"/>
      <sheetName val="0810"/>
      <sheetName val="0910"/>
      <sheetName val="1010"/>
      <sheetName val="1110"/>
      <sheetName val="1410"/>
      <sheetName val="1710"/>
      <sheetName val="1810"/>
      <sheetName val="2110"/>
      <sheetName val="2210"/>
      <sheetName val="2310"/>
      <sheetName val="2410"/>
      <sheetName val="2510"/>
      <sheetName val="2810"/>
      <sheetName val="2910"/>
      <sheetName val="2403"/>
      <sheetName val="2503"/>
      <sheetName val="2703"/>
      <sheetName val="2803"/>
      <sheetName val="2706"/>
      <sheetName val="3006"/>
      <sheetName val="0107"/>
      <sheetName val="0207"/>
      <sheetName val="0307"/>
      <sheetName val="0407"/>
      <sheetName val="0707"/>
      <sheetName val="0807"/>
      <sheetName val="0907"/>
      <sheetName val="1007"/>
      <sheetName val="1107"/>
      <sheetName val="1407"/>
      <sheetName val="1507"/>
      <sheetName val="1607"/>
      <sheetName val="1707"/>
      <sheetName val="1807"/>
      <sheetName val="2107"/>
      <sheetName val="2207"/>
      <sheetName val="2307"/>
      <sheetName val="2407"/>
      <sheetName val="2507"/>
      <sheetName val="3007"/>
      <sheetName val="3107"/>
      <sheetName val="0108"/>
      <sheetName val="0408"/>
      <sheetName val="0508"/>
      <sheetName val="0608"/>
      <sheetName val="0708"/>
      <sheetName val="0808"/>
      <sheetName val="1108"/>
      <sheetName val="1208"/>
      <sheetName val="1308"/>
      <sheetName val="1408"/>
      <sheetName val="1508"/>
      <sheetName val="1808"/>
      <sheetName val="1908"/>
      <sheetName val="2008"/>
      <sheetName val="2108"/>
      <sheetName val="2208"/>
      <sheetName val="2508"/>
      <sheetName val="2608"/>
      <sheetName val="2708"/>
      <sheetName val="2808"/>
      <sheetName val="2908"/>
      <sheetName val="0109"/>
      <sheetName val="0209"/>
      <sheetName val="0309"/>
      <sheetName val="0409"/>
      <sheetName val="0509"/>
      <sheetName val="0809"/>
      <sheetName val="0909"/>
      <sheetName val="1009"/>
      <sheetName val="1109"/>
      <sheetName val="1209"/>
      <sheetName val="1509"/>
      <sheetName val="1609"/>
      <sheetName val="1709"/>
      <sheetName val="1809"/>
      <sheetName val="1909"/>
      <sheetName val="2209"/>
      <sheetName val="2309"/>
      <sheetName val="2409"/>
      <sheetName val="2509"/>
      <sheetName val="2609"/>
      <sheetName val="2909"/>
      <sheetName val="30 sept"/>
      <sheetName val="02 oct"/>
      <sheetName val="03 Oct"/>
      <sheetName val="08 Oct"/>
      <sheetName val="09 Oct"/>
      <sheetName val="10 Oct"/>
      <sheetName val="13 Oct"/>
      <sheetName val="14 Oct"/>
      <sheetName val="15 Oct"/>
      <sheetName val="16 Oct"/>
      <sheetName val="17 Oct"/>
      <sheetName val="20 Oct"/>
      <sheetName val="21 Oct"/>
      <sheetName val="22 Oct"/>
      <sheetName val="23 Oct"/>
      <sheetName val="24 Oct"/>
      <sheetName val="27 Oct"/>
      <sheetName val="28 Oct"/>
      <sheetName val="29 Oct"/>
      <sheetName val="30 Oct"/>
      <sheetName val="31 Oct"/>
      <sheetName val="DMS pricelist (20)"/>
      <sheetName val="Vlookup (Datapack) (3)"/>
      <sheetName val="DMS pricelist (18)"/>
      <sheetName val="DMS pricelist (19)"/>
      <sheetName val="Vlookup (Datapack) (2)"/>
      <sheetName val="DMS pricelist (17)"/>
      <sheetName val="DMS pricelist (15)"/>
      <sheetName val="DMS pricelist (13)"/>
      <sheetName val="DMS pricelist (12)"/>
      <sheetName val="DMS pricelist (11)"/>
      <sheetName val="DMS pricelist (10)"/>
      <sheetName val="DMS pricelist (9)"/>
      <sheetName val="DMS pricelist"/>
      <sheetName val="DMS pricelist (6)"/>
      <sheetName val="DMS pricelist (5)"/>
      <sheetName val="DMS pricelist (4)"/>
      <sheetName val="DMS pricelist (3)"/>
      <sheetName val="DMS pricelist (2)"/>
      <sheetName val="07.28"/>
      <sheetName val="08.01"/>
      <sheetName val="08.02"/>
      <sheetName val="08.04"/>
      <sheetName val="08.03"/>
      <sheetName val="08.05"/>
      <sheetName val="08.08"/>
      <sheetName val="08.09"/>
      <sheetName val="08.10"/>
      <sheetName val="08.11"/>
      <sheetName val="08.15"/>
      <sheetName val="08.16"/>
      <sheetName val="08.17"/>
      <sheetName val="08.18"/>
      <sheetName val="08.19"/>
      <sheetName val="08.22"/>
      <sheetName val="08.23"/>
      <sheetName val="08.24"/>
      <sheetName val="08.25"/>
      <sheetName val="08.26"/>
      <sheetName val="08.29"/>
      <sheetName val="08.30"/>
      <sheetName val="08.31"/>
      <sheetName val="09.01"/>
      <sheetName val="09.02"/>
      <sheetName val="09.05"/>
      <sheetName val="09.06"/>
      <sheetName val="09.07"/>
      <sheetName val="09.08"/>
      <sheetName val="09.09"/>
      <sheetName val="09.12"/>
      <sheetName val="09.13"/>
      <sheetName val="09.14"/>
      <sheetName val="09.15"/>
      <sheetName val="09.16"/>
      <sheetName val="09.19"/>
      <sheetName val="09.20"/>
      <sheetName val="09.21"/>
      <sheetName val="09.22"/>
      <sheetName val="09.23"/>
      <sheetName val="09.26"/>
      <sheetName val="09.27"/>
      <sheetName val="09.28"/>
      <sheetName val="09.29"/>
      <sheetName val="09.30"/>
      <sheetName val="10.04"/>
      <sheetName val="10.05"/>
      <sheetName val="10.06"/>
      <sheetName val="10.07"/>
      <sheetName val="10.11"/>
      <sheetName val="10.12"/>
      <sheetName val="10.13"/>
      <sheetName val="10.14"/>
      <sheetName val="10.17"/>
      <sheetName val="10.18"/>
      <sheetName val="10.19"/>
      <sheetName val="10.20"/>
      <sheetName val="10.21"/>
      <sheetName val="10.24"/>
      <sheetName val="10.26"/>
      <sheetName val="10.27"/>
      <sheetName val="10.28"/>
      <sheetName val="10.31"/>
      <sheetName val="11.01"/>
      <sheetName val="11.02"/>
      <sheetName val="11.03"/>
      <sheetName val="11.04"/>
      <sheetName val="11.07"/>
      <sheetName val="11.08"/>
      <sheetName val="11.09"/>
      <sheetName val="11.10"/>
      <sheetName val="11.11"/>
      <sheetName val="11.14"/>
      <sheetName val="11.15"/>
      <sheetName val="11.16"/>
      <sheetName val="11.17"/>
      <sheetName val="11.18"/>
      <sheetName val="11.21"/>
      <sheetName val="11.22"/>
      <sheetName val="11.23"/>
      <sheetName val="11.24"/>
      <sheetName val="11.25"/>
      <sheetName val="11.28"/>
      <sheetName val="11.29"/>
      <sheetName val="11.30"/>
      <sheetName val="12.01"/>
      <sheetName val="12.02"/>
      <sheetName val="12.05"/>
      <sheetName val="12.06"/>
      <sheetName val="12.07"/>
      <sheetName val="12.08"/>
      <sheetName val="12.09"/>
      <sheetName val="12.12"/>
      <sheetName val="12.13"/>
      <sheetName val="12.14"/>
      <sheetName val="12.15"/>
      <sheetName val="12.16"/>
      <sheetName val="12.19"/>
      <sheetName val="12.20"/>
      <sheetName val="12.21"/>
      <sheetName val="12.22"/>
      <sheetName val="12.23"/>
      <sheetName val="12.28"/>
      <sheetName val="12.29"/>
      <sheetName val="12.30"/>
      <sheetName val="01.03"/>
      <sheetName val="01.04"/>
      <sheetName val="01.05"/>
      <sheetName val="01.06"/>
      <sheetName val="01.09"/>
      <sheetName val="01.10"/>
      <sheetName val="01.11"/>
      <sheetName val="01.12"/>
      <sheetName val="01.13"/>
      <sheetName val="01.16"/>
      <sheetName val="01.17"/>
      <sheetName val="01.18"/>
      <sheetName val="01.19"/>
      <sheetName val="01.23"/>
      <sheetName val="01.24"/>
      <sheetName val="01.25"/>
      <sheetName val="01.26"/>
      <sheetName val="01.27"/>
      <sheetName val="01.30"/>
      <sheetName val="01.31"/>
      <sheetName val="02.01"/>
      <sheetName val="02.02"/>
      <sheetName val="02.06"/>
      <sheetName val="02.07"/>
      <sheetName val="02.08"/>
      <sheetName val="02.09"/>
      <sheetName val="02.10"/>
      <sheetName val="02.13"/>
      <sheetName val="02.14"/>
      <sheetName val="02.15"/>
      <sheetName val="02.16"/>
      <sheetName val="02.17"/>
      <sheetName val="02.20"/>
      <sheetName val="02.21"/>
      <sheetName val="02.22"/>
      <sheetName val="02.23"/>
      <sheetName val="02.24"/>
      <sheetName val="02.27"/>
      <sheetName val="02.28"/>
      <sheetName val="03.01"/>
      <sheetName val="03.02"/>
      <sheetName val="03.03"/>
      <sheetName val="03.06"/>
      <sheetName val="03.07"/>
      <sheetName val="03.08"/>
      <sheetName val="03.09"/>
      <sheetName val="03.10"/>
      <sheetName val="03.13"/>
      <sheetName val="03.14"/>
      <sheetName val="03.15"/>
      <sheetName val="03.16"/>
      <sheetName val="03.17"/>
      <sheetName val="03.20"/>
      <sheetName val="03.21"/>
      <sheetName val="03.22"/>
      <sheetName val="03.23"/>
      <sheetName val="03.24"/>
      <sheetName val="03.27"/>
      <sheetName val="03.28"/>
      <sheetName val="03.29"/>
      <sheetName val="03.30"/>
      <sheetName val="03.31"/>
      <sheetName val="04.03"/>
      <sheetName val="04.04"/>
      <sheetName val="04.05"/>
      <sheetName val="04.06"/>
      <sheetName val="04.11"/>
      <sheetName val="04.12"/>
      <sheetName val="04.13"/>
      <sheetName val="04.14"/>
      <sheetName val="04.17"/>
      <sheetName val="04.18"/>
      <sheetName val="04.19"/>
      <sheetName val="04.20"/>
      <sheetName val="04.25"/>
      <sheetName val="04.26 "/>
      <sheetName val="04.27"/>
      <sheetName val="04.28"/>
      <sheetName val="05.02"/>
      <sheetName val="05.03"/>
      <sheetName val="05.04"/>
      <sheetName val="05.05"/>
      <sheetName val="05.08"/>
      <sheetName val="05.09"/>
      <sheetName val="05.10"/>
      <sheetName val="05.11"/>
      <sheetName val="05.12"/>
      <sheetName val="05.15"/>
      <sheetName val="05.16"/>
      <sheetName val="05.17"/>
      <sheetName val="05.18"/>
      <sheetName val="05.19"/>
      <sheetName val="05.22"/>
      <sheetName val="05.23"/>
      <sheetName val="05.24"/>
      <sheetName val="05.25"/>
      <sheetName val="05.26"/>
      <sheetName val="05.30"/>
      <sheetName val="05.31"/>
      <sheetName val="06.01"/>
      <sheetName val="06.02"/>
      <sheetName val="06.05"/>
      <sheetName val="06.06"/>
      <sheetName val="06.07"/>
      <sheetName val="06.08"/>
      <sheetName val="06.09"/>
      <sheetName val="06.13"/>
      <sheetName val="06.14"/>
      <sheetName val="06.15"/>
      <sheetName val="06.16"/>
      <sheetName val="06.19"/>
      <sheetName val="06.20"/>
      <sheetName val="06.21"/>
      <sheetName val="06.22"/>
      <sheetName val="06.23"/>
      <sheetName val="06.26"/>
      <sheetName val="06.27"/>
      <sheetName val="06.30"/>
      <sheetName val="07.03"/>
      <sheetName val="07. 04"/>
      <sheetName val=".07.05"/>
      <sheetName val=".07.06 "/>
      <sheetName val=".07.07"/>
      <sheetName val="07.10"/>
      <sheetName val="07.11"/>
      <sheetName val="07.12"/>
      <sheetName val="07.13."/>
      <sheetName val="07.13. (2)"/>
      <sheetName val="07.14."/>
      <sheetName val="07.15."/>
      <sheetName val="07.18."/>
      <sheetName val="07.19."/>
      <sheetName val="07.20."/>
      <sheetName val="07.21."/>
      <sheetName val="07.24"/>
      <sheetName val="07.25."/>
      <sheetName val="07.26."/>
      <sheetName val="07.27."/>
      <sheetName val="07.28."/>
      <sheetName val="07.31."/>
      <sheetName val="08.01."/>
      <sheetName val="08.02."/>
      <sheetName val="08.03."/>
      <sheetName val="08.04. "/>
      <sheetName val="08.07. "/>
      <sheetName val="08.08."/>
      <sheetName val="08.09."/>
      <sheetName val="08.10."/>
      <sheetName val="08.11. "/>
      <sheetName val="08.14."/>
      <sheetName val="08.15."/>
      <sheetName val="08.16."/>
      <sheetName val="08.17."/>
      <sheetName val="08.18. "/>
      <sheetName val="08.21"/>
      <sheetName val="8.22"/>
      <sheetName val="8.23"/>
      <sheetName val="8.24"/>
      <sheetName val="8.25"/>
      <sheetName val="8.28"/>
      <sheetName val="8.29"/>
      <sheetName val="8.30"/>
      <sheetName val="8.31"/>
      <sheetName val="9.1"/>
      <sheetName val="9.4"/>
      <sheetName val="9.8"/>
      <sheetName val="9.11"/>
      <sheetName val="9.12"/>
      <sheetName val="9.14"/>
      <sheetName val="9.15"/>
      <sheetName val="9.18"/>
      <sheetName val="9.20"/>
      <sheetName val="9.21"/>
      <sheetName val="9.22"/>
      <sheetName val="9.25"/>
      <sheetName val="9.26"/>
      <sheetName val="9.28"/>
      <sheetName val="9.29"/>
      <sheetName val="10.03"/>
      <sheetName val="10.4"/>
      <sheetName val="10.5"/>
      <sheetName val="10.6"/>
      <sheetName val="10.9"/>
      <sheetName val="10.10"/>
      <sheetName val="10.11."/>
      <sheetName val="10.12."/>
      <sheetName val="10.13."/>
      <sheetName val="10.16."/>
      <sheetName val="10.17."/>
      <sheetName val=" 10.18"/>
      <sheetName val="10. 19"/>
      <sheetName val="10. 20"/>
      <sheetName val="10. 23"/>
      <sheetName val="10. 24"/>
      <sheetName val="10. 25"/>
      <sheetName val="10. 26"/>
      <sheetName val="10. 27"/>
      <sheetName val="10. 31"/>
      <sheetName val="11.1"/>
      <sheetName val="11.2"/>
      <sheetName val="11.3"/>
      <sheetName val="11.6 "/>
      <sheetName val="11.7"/>
      <sheetName val="11.8"/>
      <sheetName val="11.9 "/>
      <sheetName val="11. 10"/>
      <sheetName val="11. 13 "/>
      <sheetName val="11. 14"/>
      <sheetName val="11. 15"/>
      <sheetName val="11. 16 "/>
      <sheetName val="11. 17"/>
      <sheetName val="11. 20"/>
      <sheetName val="11. 21"/>
      <sheetName val="11. 22"/>
      <sheetName val="11. 23"/>
      <sheetName val="11. 24"/>
      <sheetName val="11. 27"/>
      <sheetName val="11. 28"/>
      <sheetName val="11. 29"/>
      <sheetName val="11. 30 "/>
      <sheetName val="12. 01"/>
      <sheetName val="12. 04 "/>
      <sheetName val="12. 05  "/>
      <sheetName val="12. 06   "/>
      <sheetName val="12. 07    "/>
      <sheetName val="12. 08     "/>
      <sheetName val="12.11"/>
      <sheetName val="12. 12"/>
      <sheetName val="12. 13"/>
      <sheetName val="12. 15"/>
      <sheetName val="12. 18"/>
      <sheetName val="12. 19"/>
      <sheetName val="12. 20"/>
      <sheetName val="12. 21"/>
      <sheetName val="12. 22"/>
      <sheetName val="12. 27"/>
      <sheetName val="12. 28"/>
      <sheetName val="12. 29"/>
      <sheetName val="01. 02"/>
      <sheetName val="01. 03"/>
      <sheetName val="01. 04"/>
      <sheetName val="01. 05"/>
      <sheetName val="01. 08"/>
      <sheetName val="01. 09"/>
      <sheetName val="01. 10"/>
      <sheetName val="01. 11"/>
      <sheetName val="01. 12"/>
      <sheetName val="01. 15"/>
      <sheetName val="01. 16"/>
      <sheetName val="01. 17"/>
      <sheetName val="01. 18"/>
      <sheetName val="01. 19"/>
      <sheetName val="01. 22"/>
      <sheetName val="01. 23"/>
      <sheetName val="01. 29"/>
      <sheetName val="01. 30"/>
      <sheetName val="01. 31"/>
      <sheetName val="02. 01"/>
      <sheetName val="02. 02"/>
      <sheetName val="02. 05"/>
      <sheetName val="02. 06"/>
      <sheetName val="02. 08"/>
      <sheetName val="02. 09"/>
      <sheetName val="02.12"/>
      <sheetName val="02. 13"/>
      <sheetName val="02. 14"/>
      <sheetName val="02. 15"/>
      <sheetName val="02. 16"/>
      <sheetName val="02. 19"/>
      <sheetName val="02. 20"/>
      <sheetName val="02. 21"/>
      <sheetName val="02. 22"/>
      <sheetName val="02. 23"/>
      <sheetName val="02.26"/>
      <sheetName val="02.27."/>
      <sheetName val="02.28. "/>
      <sheetName val="02.29."/>
      <sheetName val="03.01."/>
      <sheetName val="03.04."/>
      <sheetName val="03.05."/>
      <sheetName val="03.06."/>
      <sheetName val="03.07."/>
      <sheetName val="03.08."/>
      <sheetName val="03.11."/>
      <sheetName val="03.12."/>
      <sheetName val="03.13."/>
      <sheetName val="03.14."/>
      <sheetName val="03.15. "/>
      <sheetName val="03.18."/>
      <sheetName val="03.19"/>
      <sheetName val="03.20."/>
      <sheetName val="03.21."/>
      <sheetName val="03.22."/>
      <sheetName val="03.25"/>
      <sheetName val="03.26"/>
      <sheetName val="03.27."/>
      <sheetName val="03.28."/>
      <sheetName val="04.2."/>
      <sheetName val="04.3."/>
      <sheetName val="04.4."/>
      <sheetName val="04.5."/>
      <sheetName val="04.08."/>
      <sheetName val="04.12."/>
      <sheetName val="04.15."/>
      <sheetName val="04.16."/>
      <sheetName val="04.17."/>
      <sheetName val="04.18."/>
      <sheetName val="04.19."/>
      <sheetName val="04.22"/>
      <sheetName val="04.23"/>
      <sheetName val="04.24"/>
      <sheetName val="04.25."/>
      <sheetName val="04.26."/>
      <sheetName val="04.29."/>
      <sheetName val="04.30."/>
      <sheetName val="05.02."/>
      <sheetName val="05.03."/>
      <sheetName val="05.07"/>
      <sheetName val="05.08."/>
      <sheetName val="05.09."/>
      <sheetName val="05.10."/>
      <sheetName val="05.13"/>
      <sheetName val="05.14"/>
      <sheetName val="05. 15"/>
      <sheetName val="05. 16"/>
      <sheetName val="05. 17"/>
      <sheetName val="05.20"/>
      <sheetName val="05.21"/>
      <sheetName val="05.22."/>
      <sheetName val="05.23."/>
      <sheetName val="05.24."/>
      <sheetName val="05.31."/>
      <sheetName val="06.03."/>
      <sheetName val="06.04."/>
      <sheetName val="06.05."/>
      <sheetName val="06.06."/>
      <sheetName val="06.07."/>
      <sheetName val="06.10."/>
      <sheetName val="06.13."/>
      <sheetName val="06.14."/>
      <sheetName val="06.20."/>
      <sheetName val="06.21."/>
      <sheetName val="06.24"/>
      <sheetName val="06.25"/>
      <sheetName val="06.26."/>
      <sheetName val="06.27."/>
      <sheetName val="06.28"/>
      <sheetName val="07.01."/>
      <sheetName val="07.02"/>
      <sheetName val="07.03."/>
      <sheetName val="07.04."/>
      <sheetName val="07.05."/>
      <sheetName val="07.08. "/>
      <sheetName val="07.09."/>
      <sheetName val="07.10."/>
      <sheetName val="07.11."/>
      <sheetName val="07.12."/>
      <sheetName val="07.15.."/>
      <sheetName val="07.16."/>
      <sheetName val="07.17."/>
      <sheetName val="07.18.."/>
      <sheetName val="07.19.."/>
      <sheetName val="07.22.."/>
      <sheetName val="07.23.."/>
      <sheetName val="07.24.."/>
      <sheetName val="07.25.."/>
      <sheetName val="07.26.."/>
      <sheetName val="07.29"/>
      <sheetName val="08.01 "/>
      <sheetName val="08. 02"/>
      <sheetName val="08. 05"/>
      <sheetName val="08. 06"/>
      <sheetName val="08.07"/>
      <sheetName val="08.08 (1)"/>
      <sheetName val="08.09 (1)"/>
      <sheetName val="08.12."/>
      <sheetName val="08.13."/>
      <sheetName val="08.14.2"/>
      <sheetName val="08.15.1"/>
      <sheetName val="08.16.1"/>
      <sheetName val="08.19.1 "/>
      <sheetName val="08.20.1 "/>
      <sheetName val="08.21.1"/>
      <sheetName val="08.22.1 "/>
      <sheetName val="08.23.1"/>
      <sheetName val="08.26.1"/>
      <sheetName val="08.27.1"/>
      <sheetName val="08.28"/>
      <sheetName val="02.09.1"/>
      <sheetName val="03.09.1"/>
      <sheetName val="04.09.1"/>
      <sheetName val="05.09.1"/>
      <sheetName val="06.09.1 "/>
      <sheetName val="09.09."/>
      <sheetName val="09.10."/>
      <sheetName val="09.11."/>
      <sheetName val="09.12."/>
      <sheetName val="09.13."/>
      <sheetName val="09.17."/>
      <sheetName val="09.18. "/>
      <sheetName val="09.19."/>
      <sheetName val="09.20."/>
      <sheetName val="09.23.2"/>
      <sheetName val="09.24.2"/>
      <sheetName val="09.25.2"/>
      <sheetName val="09.26.2 "/>
      <sheetName val="09.27.2"/>
      <sheetName val="09  30"/>
      <sheetName val="10 02.24"/>
      <sheetName val="10 03.24"/>
      <sheetName val="10 04.24"/>
      <sheetName val="10 07.24"/>
      <sheetName val="10 08.24 "/>
      <sheetName val="10 09.24 "/>
      <sheetName val="10 10.24 "/>
      <sheetName val="10 11.24 "/>
      <sheetName val="10 14.24"/>
      <sheetName val="10 15.24"/>
      <sheetName val="10 16.24 "/>
      <sheetName val="10 17.24 "/>
      <sheetName val="10 18.24 "/>
      <sheetName val="10 21.24"/>
      <sheetName val="10 22 .24"/>
      <sheetName val="10.23.24"/>
      <sheetName val="10.24.24 "/>
      <sheetName val="10.25.24  "/>
      <sheetName val="10.28.24"/>
      <sheetName val="10.29.24"/>
      <sheetName val="10.30.24 "/>
      <sheetName val="11.01.24  "/>
      <sheetName val="11.04.24  "/>
      <sheetName val="11.05.24 "/>
      <sheetName val="11.06.24  "/>
      <sheetName val="DMS pricelist (14)"/>
      <sheetName val="11.07.24  "/>
      <sheetName val="11.08.24 "/>
      <sheetName val="11.11.24 "/>
      <sheetName val="11.12.24"/>
      <sheetName val="11.13.24 "/>
      <sheetName val="11.14.24"/>
      <sheetName val="11.15.24"/>
      <sheetName val="11.18.24"/>
      <sheetName val="11.19.24 "/>
      <sheetName val="11.20.24  "/>
      <sheetName val="11.21.24 "/>
      <sheetName val="11.22.24"/>
      <sheetName val="11.25.24 "/>
      <sheetName val="11.27.24  "/>
      <sheetName val="11.26.24  "/>
      <sheetName val="11.28.24   "/>
      <sheetName val="11.29.24"/>
      <sheetName val="12.02.24"/>
      <sheetName val="12.03.24 "/>
      <sheetName val="12.04.24 "/>
      <sheetName val="12.05.24 "/>
      <sheetName val="12.06.24 "/>
      <sheetName val="12.09.24 "/>
      <sheetName val="12.10.24  "/>
      <sheetName val="12.11.24  "/>
      <sheetName val="12.12.24"/>
      <sheetName val="12.13.24 "/>
      <sheetName val="12.16.24 "/>
      <sheetName val="12.17.24  "/>
      <sheetName val="12.18.24 "/>
      <sheetName val="12.19.24 "/>
      <sheetName val="12.20.24"/>
      <sheetName val="12.23.24 "/>
      <sheetName val="12.24.24"/>
      <sheetName val="12.27.24 "/>
      <sheetName val="12.30.24 "/>
      <sheetName val="12.31.24 "/>
      <sheetName val="1.02.25"/>
      <sheetName val="1.03.25"/>
      <sheetName val="1.06.25 "/>
      <sheetName val="1.07.25  "/>
      <sheetName val="1.08.25  "/>
      <sheetName val="1.09.25 "/>
      <sheetName val="1.10.25 "/>
      <sheetName val="1.13.25"/>
      <sheetName val="1.14.25"/>
      <sheetName val="1.15.25"/>
      <sheetName val="1.16.25"/>
      <sheetName val="1.17.25"/>
      <sheetName val="1.20.25"/>
      <sheetName val="1.21.25 "/>
      <sheetName val="1.22.25  "/>
      <sheetName val="1.23.25"/>
      <sheetName val="1.24.25"/>
      <sheetName val="1.27.25 "/>
      <sheetName val="1.28.25 "/>
      <sheetName val="1.29.25"/>
      <sheetName val="1.30.25 "/>
      <sheetName val="1.31.25"/>
      <sheetName val="2.04.25 "/>
      <sheetName val="2.05.25  "/>
      <sheetName val="2.06.25  "/>
      <sheetName val="2.07.25   "/>
      <sheetName val="2.10.25    "/>
      <sheetName val="2.11.25     "/>
      <sheetName val="2.12.25   "/>
      <sheetName val="2.14.25 "/>
      <sheetName val="2.17.25 "/>
      <sheetName val="2.18.25  "/>
      <sheetName val="2.19.25 "/>
      <sheetName val="2.20.25  "/>
      <sheetName val="2.24.25 "/>
      <sheetName val="2.25.25 "/>
      <sheetName val="2.26.25"/>
      <sheetName val="2.27.25"/>
      <sheetName val="2.28.25"/>
      <sheetName val="3.03.25 "/>
      <sheetName val="4.03.25"/>
      <sheetName val="5.03.25"/>
      <sheetName val="06.03.25"/>
      <sheetName val="07.03.25"/>
      <sheetName val="10.03.25 "/>
      <sheetName val="11.03.25 "/>
      <sheetName val="12.03.25  "/>
      <sheetName val="13.03.25   "/>
      <sheetName val="14.03.25"/>
      <sheetName val="17.03.25"/>
      <sheetName val="18.03.25 "/>
      <sheetName val="19.03.25"/>
      <sheetName val="20.03.25 "/>
      <sheetName val="21.03.25"/>
      <sheetName val="24.03.25 "/>
      <sheetName val="25.03.25 "/>
      <sheetName val="26.03.25"/>
      <sheetName val="27.03.25"/>
      <sheetName val="28.03.25"/>
      <sheetName val="02.04.25"/>
      <sheetName val="03.04.25 "/>
      <sheetName val="07.04.25 "/>
      <sheetName val="08.04.25  "/>
      <sheetName val="09.04.25"/>
      <sheetName val="10.04.25 "/>
      <sheetName val="11.04.25 "/>
      <sheetName val="14.04.25"/>
      <sheetName val="15.04.25"/>
      <sheetName val="16.04.25"/>
      <sheetName val="17.04.25"/>
      <sheetName val="22.04.25"/>
      <sheetName val="23.04.25 "/>
      <sheetName val="24.04.25"/>
      <sheetName val="25.04.25"/>
      <sheetName val="28.04.25"/>
      <sheetName val="29.04.25 "/>
      <sheetName val="2.05.25"/>
      <sheetName val="05.05.25"/>
      <sheetName val="06.05.25"/>
      <sheetName val="07.05.25"/>
      <sheetName val="08.05.25"/>
      <sheetName val="09.05.25"/>
      <sheetName val="12.05.25 "/>
      <sheetName val="13.05.25  "/>
      <sheetName val="14.05.25"/>
      <sheetName val="15.05.25"/>
      <sheetName val="16.05.25"/>
      <sheetName val="19.05.25 "/>
      <sheetName val="20.05.25 "/>
      <sheetName val="21.05.25"/>
      <sheetName val="22.05.25"/>
      <sheetName val="23.05.25 "/>
      <sheetName val="26.05.25"/>
      <sheetName val="27.05.25"/>
      <sheetName val="28.05.25"/>
      <sheetName val="29.05.25"/>
      <sheetName val="30.05.25"/>
      <sheetName val="02.06.2025"/>
      <sheetName val="03.06.2025"/>
      <sheetName val="04.06.2025 "/>
      <sheetName val="05.06.2025"/>
      <sheetName val="10.06.2025"/>
      <sheetName val="11.06.2025"/>
      <sheetName val="13.06.2025"/>
      <sheetName val="16.06.2025 "/>
      <sheetName val="17.06.2025"/>
      <sheetName val="25.06.2025 "/>
      <sheetName val="26.06.2025  "/>
      <sheetName val="27.06.2025 "/>
      <sheetName val="30.06.2025"/>
      <sheetName val="01.07.2025 "/>
      <sheetName val="02.07.2025 "/>
      <sheetName val="03.07.2025 "/>
      <sheetName val="04.07.2025 "/>
      <sheetName val="07.07.2025 "/>
      <sheetName val="08.07.2025"/>
      <sheetName val="10.07.2025 "/>
      <sheetName val="11.07.2025  "/>
      <sheetName val="14.07.2025"/>
      <sheetName val="16.07.2025"/>
      <sheetName val="17.07.2025"/>
      <sheetName val="18.07.2025 "/>
      <sheetName val="21.07.2025  "/>
      <sheetName val="22.07.2025"/>
      <sheetName val="23.07.2025"/>
      <sheetName val="24.07.2025"/>
      <sheetName val="31.07.2025"/>
      <sheetName val="01.08.2025"/>
      <sheetName val="04.08.2025"/>
      <sheetName val="05.08.2025 "/>
      <sheetName val="06.08.2025 "/>
      <sheetName val="07.08.2025"/>
      <sheetName val="08.08.2025 "/>
      <sheetName val="11.08.2025"/>
      <sheetName val="12.08.2025"/>
      <sheetName val="13.08.2025"/>
      <sheetName val="14.08.2025"/>
      <sheetName val="15.08.2025"/>
      <sheetName val="18.08.2025 "/>
      <sheetName val="19.08.2025  "/>
      <sheetName val="20.08.2025  "/>
      <sheetName val="21.08.2025 "/>
      <sheetName val="22.08.2025 "/>
      <sheetName val="25.08.2025 "/>
      <sheetName val="26.08.2025"/>
      <sheetName val="27.08.2025 "/>
      <sheetName val="28.08.2025"/>
      <sheetName val="29.08.2025"/>
      <sheetName val="01.09.2025"/>
      <sheetName val="02.09.2025"/>
      <sheetName val="03.09.2025"/>
      <sheetName val="04.09.2025"/>
      <sheetName val="08.09.2025"/>
      <sheetName val="09.09.2025"/>
      <sheetName val="10.09.2025"/>
      <sheetName val="11.09.2025"/>
      <sheetName val="12.09.2025"/>
      <sheetName val="15.09.2025"/>
      <sheetName val="16.09.2025 "/>
      <sheetName val="17.09.2025"/>
      <sheetName val="18.09.2025"/>
      <sheetName val="19.09.2025"/>
      <sheetName val="22.09.2025"/>
      <sheetName val="23.09.2025"/>
      <sheetName val="24.09.2025"/>
      <sheetName val="25.09.2025"/>
      <sheetName val="26.09.2025"/>
      <sheetName val="29.09.2025"/>
      <sheetName val="30.09.2025 "/>
      <sheetName val="02.10.2025"/>
      <sheetName val="03.10.2025"/>
      <sheetName val="06.10.2025"/>
      <sheetName val="07.10.2025"/>
      <sheetName val="08.10.2025"/>
      <sheetName val="09.10.2025"/>
      <sheetName val="10.10.2025"/>
      <sheetName val="13.10.2025"/>
      <sheetName val="14.10.2025 "/>
      <sheetName val="15.10.2025"/>
      <sheetName val="16.10.2025"/>
      <sheetName val="17.10.2025"/>
      <sheetName val="20.10.2025"/>
      <sheetName val="21.10.2025"/>
      <sheetName val="22.10.2025 "/>
      <sheetName val="23.10.2025"/>
      <sheetName val="24.10.2025"/>
      <sheetName val="27.10.2025"/>
      <sheetName val="28.10.2025 "/>
      <sheetName val="29.10.2025"/>
      <sheetName val="30.10.2025"/>
      <sheetName val="31.10.2025"/>
      <sheetName val="03.11.2025"/>
      <sheetName val="04.11.2025"/>
      <sheetName val="05.11.2025"/>
      <sheetName val="06.11.2025"/>
      <sheetName val="07.11.2025"/>
      <sheetName val="10.11.2025"/>
      <sheetName val="11.11.2025"/>
      <sheetName val="12.11.2025"/>
      <sheetName val="13.11.2025"/>
      <sheetName val="14.11.2025"/>
      <sheetName val="17.11.2025"/>
      <sheetName val="18.11.2025"/>
      <sheetName val="19.11.2025"/>
      <sheetName val="20.11.2025"/>
      <sheetName val="21.11.2025"/>
      <sheetName val="24.11.2025"/>
      <sheetName val="25.11.2025"/>
      <sheetName val="26.11.2025"/>
      <sheetName val="27.11.2025"/>
      <sheetName val="28.11.2025"/>
      <sheetName val="01.12.2025"/>
      <sheetName val="02.12.2025"/>
      <sheetName val="03.12.2025"/>
      <sheetName val="04.12.2025"/>
      <sheetName val="05.12.2025"/>
      <sheetName val="08.12.2025"/>
      <sheetName val="09.12.2025"/>
      <sheetName val="10.12.2025"/>
      <sheetName val="11.12.2025"/>
      <sheetName val="12.12.2025"/>
      <sheetName val="15.12.2025"/>
      <sheetName val="16.12.2025"/>
      <sheetName val="17.12.2025"/>
      <sheetName val="18.12.2025"/>
      <sheetName val="19.12.2025"/>
      <sheetName val="22.12.2025"/>
      <sheetName val="23.12.2025"/>
      <sheetName val="24.12.2025"/>
      <sheetName val="29.12.2025"/>
      <sheetName val="30.12.2025"/>
      <sheetName val="31.12.2025"/>
      <sheetName val="02.01.2026"/>
      <sheetName val="05.01.2026 "/>
      <sheetName val="06.01.2026 "/>
      <sheetName val="07.01.2026 "/>
      <sheetName val="08.01.2026 "/>
      <sheetName val="09.01.2026"/>
      <sheetName val="12.01.2026"/>
      <sheetName val="13.01.2026"/>
      <sheetName val="14.01.2026 "/>
      <sheetName val="15.01.2026 "/>
      <sheetName val="16.01.2026"/>
      <sheetName val="19.01.2026"/>
      <sheetName val="20.01.2026"/>
      <sheetName val="21.01.2026"/>
      <sheetName val="22.01.2026"/>
      <sheetName val="23.01.2026"/>
      <sheetName val="26.01.2026"/>
      <sheetName val="27.01.2026"/>
      <sheetName val="28.01.2026"/>
      <sheetName val="29.01.2026"/>
      <sheetName val="30.01.2026"/>
      <sheetName val="02.02.2026"/>
      <sheetName val="03.02.2026"/>
      <sheetName val="04.02.2026"/>
      <sheetName val="05.02.2026"/>
      <sheetName val="06.02.2026"/>
      <sheetName val="09.02.2026"/>
      <sheetName val="10.02.2026"/>
      <sheetName val="11.02.2026"/>
      <sheetName val="12.02.2026"/>
      <sheetName val="13.02.2026"/>
      <sheetName val="16.02.2026"/>
      <sheetName val="17.02.2026 "/>
      <sheetName val="18.02.2026 "/>
      <sheetName val="19.02.2026"/>
      <sheetName val="20.02.2026 "/>
      <sheetName val="23.02.2026"/>
      <sheetName val="24.02.2026"/>
      <sheetName val="25.02.2026"/>
      <sheetName val="26.02.2026"/>
      <sheetName val="27.02.2026"/>
      <sheetName val="02.03.2026"/>
      <sheetName val="03.03.2026"/>
      <sheetName val="04.03.2026 "/>
      <sheetName val="05.03.2026"/>
      <sheetName val="06.03.2026"/>
      <sheetName val="09.03.2026"/>
      <sheetName val="10.03.2026"/>
      <sheetName val="11.03.2026"/>
      <sheetName val="12.03.2026"/>
      <sheetName val="13.03.2026"/>
      <sheetName val="16.03.2026"/>
      <sheetName val="17.03.2026"/>
      <sheetName val="18.03.2026"/>
      <sheetName val="23.03.2026"/>
      <sheetName val="24.03.2026"/>
      <sheetName val="25.03.2026 "/>
      <sheetName val="26.03.2026"/>
      <sheetName val="27.03.2026"/>
      <sheetName val="30.03.2026"/>
      <sheetName val="31.03.2026"/>
      <sheetName val="01.04.2026"/>
      <sheetName val="02.04.2026"/>
      <sheetName val="07.04.2026"/>
      <sheetName val="08.04.2026"/>
      <sheetName val="09.04.2026"/>
      <sheetName val="10.04.2026"/>
      <sheetName val="13.04.2026"/>
      <sheetName val="14.04.26"/>
      <sheetName val="15.04.26"/>
      <sheetName val="16.04.26"/>
      <sheetName val="17.04.26"/>
      <sheetName val="20.04.26"/>
      <sheetName val="21.04.26"/>
      <sheetName val="22.04.26"/>
      <sheetName val="23.04.26"/>
      <sheetName val="24.04.26"/>
      <sheetName val="27.04.26"/>
      <sheetName val="28.04.26"/>
      <sheetName val="29.04.2026"/>
      <sheetName val="30.4.2026"/>
      <sheetName val="05.04.2026"/>
      <sheetName val="05.05.2026"/>
      <sheetName val="06.05.2026"/>
      <sheetName val="07.05.2026 "/>
      <sheetName val="08.05.2026"/>
      <sheetName val="11.05.2026"/>
      <sheetName val="12.05.2026"/>
      <sheetName val="13.05.2026"/>
      <sheetName val="14.05.2026"/>
      <sheetName val="15.05.2026"/>
      <sheetName val="18.05.2026"/>
      <sheetName val="19.05.2026"/>
      <sheetName val="20.05.2026"/>
      <sheetName val="21.05.26"/>
      <sheetName val="22.05.26"/>
      <sheetName val="25.05.26"/>
      <sheetName val="26.05.26"/>
      <sheetName val="29.05.26"/>
      <sheetName val="01.06.2026"/>
      <sheetName val="02.06.2026"/>
      <sheetName val="03.06.26"/>
      <sheetName val="04.06.2026"/>
      <sheetName val="05.06.2026"/>
      <sheetName val="dog"/>
      <sheetName val="NSE"/>
      <sheetName val="Gainer and Losers"/>
      <sheetName val="Vlookup (Datapack)"/>
      <sheetName val="DMS pricelist (16)"/>
      <sheetName val="Compatibility Report"/>
      <sheetName val="j"/>
      <sheetName val="Sheet4"/>
      <sheetName val="-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5582-7845-4BF3-9369-9F9EC9E940A8}">
  <dimension ref="A1:AC145"/>
  <sheetViews>
    <sheetView tabSelected="1" topLeftCell="B106" zoomScale="80" zoomScaleNormal="80" workbookViewId="0">
      <selection activeCell="E18" sqref="E18"/>
    </sheetView>
  </sheetViews>
  <sheetFormatPr defaultColWidth="9.42578125" defaultRowHeight="15"/>
  <cols>
    <col min="1" max="1" width="13.5703125" style="1" bestFit="1" customWidth="1"/>
    <col min="2" max="2" width="19.28515625" style="1" bestFit="1" customWidth="1"/>
    <col min="3" max="3" width="14" style="1" bestFit="1" customWidth="1"/>
    <col min="4" max="5" width="10.140625" style="1" bestFit="1" customWidth="1"/>
    <col min="6" max="6" width="14" style="1" bestFit="1" customWidth="1"/>
    <col min="7" max="7" width="13" style="1" bestFit="1" customWidth="1"/>
    <col min="8" max="8" width="16.85546875" style="1" bestFit="1" customWidth="1"/>
    <col min="9" max="9" width="13" style="1" bestFit="1" customWidth="1"/>
    <col min="10" max="10" width="17.5703125" style="1" customWidth="1"/>
    <col min="11" max="11" width="18.85546875" style="1" customWidth="1"/>
    <col min="12" max="12" width="4.7109375" style="1" customWidth="1"/>
    <col min="13" max="13" width="25.140625" style="1" customWidth="1"/>
    <col min="14" max="14" width="17" style="3" customWidth="1"/>
    <col min="15" max="19" width="9.42578125" style="1"/>
    <col min="20" max="20" width="16" style="1" bestFit="1" customWidth="1"/>
    <col min="21" max="16384" width="9.42578125" style="1"/>
  </cols>
  <sheetData>
    <row r="1" spans="1:29">
      <c r="A1" s="1" t="s">
        <v>0</v>
      </c>
      <c r="E1" s="2">
        <v>46181</v>
      </c>
      <c r="F1" s="2"/>
      <c r="G1" s="2"/>
      <c r="H1" s="2"/>
      <c r="I1" s="2"/>
      <c r="J1" s="2"/>
      <c r="K1" s="2"/>
    </row>
    <row r="2" spans="1:29" customFormat="1" ht="16.5" customHeight="1">
      <c r="A2" s="4"/>
      <c r="B2" s="5"/>
      <c r="C2" s="5"/>
      <c r="D2" s="5"/>
      <c r="E2" s="2"/>
      <c r="F2" s="2"/>
      <c r="G2" s="2"/>
      <c r="H2" s="2"/>
      <c r="I2" s="2"/>
      <c r="J2" s="2"/>
      <c r="K2" s="2"/>
      <c r="L2" s="5"/>
      <c r="M2" s="5"/>
      <c r="N2" s="5"/>
      <c r="O2" s="5"/>
      <c r="P2" s="5"/>
      <c r="Q2" s="5"/>
      <c r="R2" s="5"/>
      <c r="S2" s="6"/>
      <c r="T2" s="6"/>
      <c r="U2" s="7"/>
      <c r="V2" s="1"/>
      <c r="W2" s="1"/>
      <c r="X2" s="1"/>
      <c r="Y2" s="1"/>
      <c r="Z2" s="1"/>
      <c r="AA2" s="1"/>
      <c r="AB2" s="1"/>
      <c r="AC2" s="1"/>
    </row>
    <row r="3" spans="1:29" customFormat="1" ht="14.25" customHeight="1">
      <c r="A3" s="4"/>
      <c r="B3" s="5"/>
      <c r="C3" s="5"/>
      <c r="D3" s="5"/>
      <c r="E3" s="2"/>
      <c r="F3" s="2"/>
      <c r="G3" s="2"/>
      <c r="H3" s="2"/>
      <c r="I3" s="2"/>
      <c r="J3" s="2"/>
      <c r="K3" s="2"/>
      <c r="L3" s="5"/>
      <c r="M3" s="5"/>
      <c r="N3" s="5"/>
      <c r="O3" s="5"/>
      <c r="P3" s="5"/>
      <c r="Q3" s="5"/>
      <c r="R3" s="5"/>
      <c r="S3" s="6"/>
      <c r="T3" s="6"/>
      <c r="U3" s="7"/>
      <c r="V3" s="1"/>
      <c r="W3" s="1"/>
      <c r="X3" s="1"/>
      <c r="Y3" s="1"/>
      <c r="Z3" s="1"/>
      <c r="AA3" s="1"/>
      <c r="AB3" s="1"/>
      <c r="AC3" s="1"/>
    </row>
    <row r="4" spans="1:29" customFormat="1" ht="14.25" customHeight="1">
      <c r="A4" s="4"/>
      <c r="B4" s="5"/>
      <c r="C4" s="5"/>
      <c r="D4" s="5"/>
      <c r="E4" s="2"/>
      <c r="F4" s="2"/>
      <c r="G4" s="2"/>
      <c r="H4" s="2"/>
      <c r="I4" s="2"/>
      <c r="J4" s="2"/>
      <c r="K4" s="2"/>
      <c r="L4" s="5"/>
      <c r="M4" s="5"/>
      <c r="N4" s="5"/>
      <c r="O4" s="5"/>
      <c r="P4" s="5"/>
      <c r="Q4" s="5"/>
      <c r="R4" s="5"/>
      <c r="S4" s="8"/>
      <c r="T4" s="8"/>
      <c r="U4" s="7"/>
      <c r="V4" s="1"/>
      <c r="W4" s="1"/>
      <c r="X4" s="1"/>
      <c r="Y4" s="1"/>
      <c r="Z4" s="1"/>
      <c r="AA4" s="1"/>
      <c r="AB4" s="1"/>
      <c r="AC4" s="1"/>
    </row>
    <row r="5" spans="1:29" customFormat="1" ht="14.25" customHeight="1">
      <c r="A5" s="9"/>
      <c r="B5" s="9"/>
      <c r="C5" s="9"/>
      <c r="D5" s="9"/>
      <c r="E5" s="2"/>
      <c r="F5" s="2"/>
      <c r="G5" s="2"/>
      <c r="H5" s="2"/>
      <c r="I5" s="2"/>
      <c r="J5" s="2"/>
      <c r="K5" s="2"/>
      <c r="L5" s="10"/>
      <c r="M5" s="10"/>
      <c r="N5" s="11"/>
      <c r="O5" s="10"/>
      <c r="P5" s="10"/>
      <c r="Q5" s="10"/>
      <c r="R5" s="11"/>
      <c r="S5" s="10"/>
      <c r="T5" s="10"/>
      <c r="U5" s="7"/>
      <c r="V5" s="1"/>
      <c r="W5" s="1"/>
      <c r="X5" s="1"/>
      <c r="Y5" s="1"/>
      <c r="Z5" s="1"/>
      <c r="AA5" s="1"/>
      <c r="AB5" s="1"/>
      <c r="AC5" s="1"/>
    </row>
    <row r="6" spans="1:29">
      <c r="A6" s="12"/>
      <c r="B6" s="13" t="s">
        <v>1</v>
      </c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  <c r="K6" s="13" t="s">
        <v>10</v>
      </c>
      <c r="M6" s="14" t="s">
        <v>11</v>
      </c>
      <c r="N6" s="15" t="s">
        <v>12</v>
      </c>
      <c r="O6" s="13" t="s">
        <v>13</v>
      </c>
    </row>
    <row r="7" spans="1:29">
      <c r="A7" s="16" t="s">
        <v>15</v>
      </c>
      <c r="B7" s="16">
        <v>9.35</v>
      </c>
      <c r="C7" s="16">
        <v>10.25</v>
      </c>
      <c r="D7" s="16">
        <v>10.25</v>
      </c>
      <c r="E7" s="16">
        <v>9.6999999999999993</v>
      </c>
      <c r="F7" s="16">
        <v>10.25</v>
      </c>
      <c r="G7" s="16">
        <v>0.90000000000000036</v>
      </c>
      <c r="H7" s="17">
        <v>9.625668449197855E-2</v>
      </c>
      <c r="I7" s="18">
        <v>1037</v>
      </c>
      <c r="J7" s="19">
        <v>23424310</v>
      </c>
      <c r="K7" s="19">
        <v>232232379.65000001</v>
      </c>
      <c r="M7" s="1" t="s">
        <v>16</v>
      </c>
      <c r="N7" s="20">
        <v>7.98</v>
      </c>
      <c r="O7" s="21">
        <v>9.9173553719008378</v>
      </c>
      <c r="T7" s="22">
        <f>[1]NSE!T2</f>
        <v>0</v>
      </c>
    </row>
    <row r="8" spans="1:29">
      <c r="A8" s="16" t="s">
        <v>17</v>
      </c>
      <c r="B8" s="16">
        <v>6.2</v>
      </c>
      <c r="C8" s="16">
        <v>6.2</v>
      </c>
      <c r="D8" s="16">
        <v>6.8</v>
      </c>
      <c r="E8" s="16">
        <v>6.8</v>
      </c>
      <c r="F8" s="16">
        <v>6.8</v>
      </c>
      <c r="G8" s="16">
        <v>0.59999999999999964</v>
      </c>
      <c r="H8" s="17">
        <v>9.6774193548387011E-2</v>
      </c>
      <c r="I8" s="18">
        <v>388</v>
      </c>
      <c r="J8" s="19">
        <v>1574678</v>
      </c>
      <c r="K8" s="19">
        <v>10597134.949999999</v>
      </c>
      <c r="M8" s="1" t="s">
        <v>18</v>
      </c>
      <c r="N8" s="20">
        <v>32.15</v>
      </c>
      <c r="O8" s="21">
        <v>9.9145299145299006</v>
      </c>
      <c r="T8" s="22">
        <f>[1]NSE!T3</f>
        <v>0</v>
      </c>
    </row>
    <row r="9" spans="1:29">
      <c r="A9" s="16" t="s">
        <v>19</v>
      </c>
      <c r="B9" s="16">
        <v>8.25</v>
      </c>
      <c r="C9" s="16">
        <v>8.25</v>
      </c>
      <c r="D9" s="16">
        <v>7.7</v>
      </c>
      <c r="E9" s="16">
        <v>7.45</v>
      </c>
      <c r="F9" s="16">
        <v>7.45</v>
      </c>
      <c r="G9" s="16">
        <v>-0.79999999999999982</v>
      </c>
      <c r="H9" s="17">
        <v>-9.6969696969696928E-2</v>
      </c>
      <c r="I9" s="18">
        <v>143</v>
      </c>
      <c r="J9" s="19">
        <v>1428890</v>
      </c>
      <c r="K9" s="19">
        <v>10838994.6</v>
      </c>
      <c r="M9" s="1" t="s">
        <v>17</v>
      </c>
      <c r="N9" s="20">
        <v>6.8</v>
      </c>
      <c r="O9" s="21">
        <v>9.6774193548387011</v>
      </c>
      <c r="T9" s="22">
        <f>[1]NSE!T4</f>
        <v>0</v>
      </c>
    </row>
    <row r="10" spans="1:29">
      <c r="A10" s="16" t="s">
        <v>20</v>
      </c>
      <c r="B10" s="16">
        <v>25</v>
      </c>
      <c r="C10" s="16">
        <v>25</v>
      </c>
      <c r="D10" s="16">
        <v>24.95</v>
      </c>
      <c r="E10" s="16">
        <v>24.1</v>
      </c>
      <c r="F10" s="16">
        <v>24.5</v>
      </c>
      <c r="G10" s="16">
        <v>-0.5</v>
      </c>
      <c r="H10" s="17">
        <v>-2.0000000000000018E-2</v>
      </c>
      <c r="I10" s="18">
        <v>2815</v>
      </c>
      <c r="J10" s="19">
        <v>20779004</v>
      </c>
      <c r="K10" s="19">
        <v>512152702.5</v>
      </c>
      <c r="M10" s="1" t="s">
        <v>15</v>
      </c>
      <c r="N10" s="20">
        <v>10.25</v>
      </c>
      <c r="O10" s="21">
        <v>9.625668449197855</v>
      </c>
      <c r="T10" s="22">
        <f>[1]NSE!T5</f>
        <v>0</v>
      </c>
    </row>
    <row r="11" spans="1:29">
      <c r="A11" s="16" t="s">
        <v>21</v>
      </c>
      <c r="B11" s="16">
        <v>12.95</v>
      </c>
      <c r="C11" s="16">
        <v>12.95</v>
      </c>
      <c r="D11" s="16">
        <v>13.2</v>
      </c>
      <c r="E11" s="16">
        <v>13</v>
      </c>
      <c r="F11" s="16">
        <v>13</v>
      </c>
      <c r="G11" s="16">
        <v>5.0000000000000711E-2</v>
      </c>
      <c r="H11" s="17">
        <v>3.8610038610038533E-3</v>
      </c>
      <c r="I11" s="18">
        <v>263</v>
      </c>
      <c r="J11" s="19">
        <v>4255483</v>
      </c>
      <c r="K11" s="19">
        <v>55800292.899999999</v>
      </c>
      <c r="L11" s="22"/>
      <c r="M11" s="1" t="s">
        <v>22</v>
      </c>
      <c r="N11" s="20">
        <v>3.92</v>
      </c>
      <c r="O11" s="21">
        <v>8.8888888888888786</v>
      </c>
      <c r="T11" s="22">
        <f>[1]NSE!T6</f>
        <v>0</v>
      </c>
    </row>
    <row r="12" spans="1:29">
      <c r="A12" s="16" t="s">
        <v>23</v>
      </c>
      <c r="B12" s="16">
        <v>4.4800000000000004</v>
      </c>
      <c r="C12" s="16">
        <v>4.4800000000000004</v>
      </c>
      <c r="D12" s="16">
        <v>4.7</v>
      </c>
      <c r="E12" s="16">
        <v>4.5</v>
      </c>
      <c r="F12" s="16">
        <v>4.55</v>
      </c>
      <c r="G12" s="16">
        <v>6.9999999999999396E-2</v>
      </c>
      <c r="H12" s="17">
        <v>1.5624999999999778E-2</v>
      </c>
      <c r="I12" s="18">
        <v>983</v>
      </c>
      <c r="J12" s="19">
        <v>11638117</v>
      </c>
      <c r="K12" s="19">
        <v>53208885.789999999</v>
      </c>
      <c r="M12" s="1" t="s">
        <v>24</v>
      </c>
      <c r="N12" s="20">
        <v>7.27</v>
      </c>
      <c r="O12" s="21">
        <v>8.5074626865671465</v>
      </c>
      <c r="T12" s="22">
        <f>[1]NSE!T7</f>
        <v>0</v>
      </c>
    </row>
    <row r="13" spans="1:29">
      <c r="A13" s="16" t="s">
        <v>25</v>
      </c>
      <c r="B13" s="16">
        <v>3655.7</v>
      </c>
      <c r="C13" s="16">
        <v>3655.7</v>
      </c>
      <c r="D13" s="16">
        <v>0</v>
      </c>
      <c r="E13" s="16">
        <v>0</v>
      </c>
      <c r="F13" s="16">
        <v>3655.7</v>
      </c>
      <c r="G13" s="16">
        <v>0</v>
      </c>
      <c r="H13" s="17">
        <v>0</v>
      </c>
      <c r="I13" s="18">
        <v>11</v>
      </c>
      <c r="J13" s="19">
        <v>1745</v>
      </c>
      <c r="K13" s="19">
        <v>7016994</v>
      </c>
      <c r="M13" s="1" t="s">
        <v>26</v>
      </c>
      <c r="N13" s="20">
        <v>1.85</v>
      </c>
      <c r="O13" s="21">
        <v>8.1871345029239873</v>
      </c>
      <c r="T13" s="22">
        <f>[1]NSE!T8</f>
        <v>0</v>
      </c>
    </row>
    <row r="14" spans="1:29">
      <c r="A14" s="16" t="s">
        <v>27</v>
      </c>
      <c r="B14" s="16">
        <v>9.9</v>
      </c>
      <c r="C14" s="16">
        <v>9.9</v>
      </c>
      <c r="D14" s="16">
        <v>0</v>
      </c>
      <c r="E14" s="16">
        <v>0</v>
      </c>
      <c r="F14" s="16">
        <v>9.9</v>
      </c>
      <c r="G14" s="16">
        <v>0</v>
      </c>
      <c r="H14" s="17">
        <v>0</v>
      </c>
      <c r="I14" s="18">
        <v>52</v>
      </c>
      <c r="J14" s="19">
        <v>51060</v>
      </c>
      <c r="K14" s="19">
        <v>536404.75</v>
      </c>
      <c r="M14" s="1" t="s">
        <v>28</v>
      </c>
      <c r="N14" s="20">
        <v>51.8</v>
      </c>
      <c r="O14" s="21">
        <v>7.9166666666666607</v>
      </c>
      <c r="T14" s="22">
        <f>[1]NSE!T9</f>
        <v>0</v>
      </c>
    </row>
    <row r="15" spans="1:29">
      <c r="A15" s="16" t="s">
        <v>29</v>
      </c>
      <c r="B15" s="16">
        <v>1749.9</v>
      </c>
      <c r="C15" s="16">
        <v>1749.9</v>
      </c>
      <c r="D15" s="16">
        <v>1770</v>
      </c>
      <c r="E15" s="16">
        <v>1770</v>
      </c>
      <c r="F15" s="16">
        <v>1770</v>
      </c>
      <c r="G15" s="16">
        <v>20.099999999999909</v>
      </c>
      <c r="H15" s="17">
        <v>1.1486370649751443E-2</v>
      </c>
      <c r="I15" s="18">
        <v>2354</v>
      </c>
      <c r="J15" s="19">
        <v>1995847</v>
      </c>
      <c r="K15" s="19">
        <v>3530298976.1999998</v>
      </c>
      <c r="M15" s="1" t="s">
        <v>30</v>
      </c>
      <c r="N15" s="20">
        <v>5</v>
      </c>
      <c r="O15" s="21">
        <v>7.5268817204301008</v>
      </c>
      <c r="T15" s="22">
        <f>[1]NSE!T10</f>
        <v>0</v>
      </c>
    </row>
    <row r="16" spans="1:29">
      <c r="A16" s="16" t="s">
        <v>31</v>
      </c>
      <c r="B16" s="16">
        <v>3.76</v>
      </c>
      <c r="C16" s="16">
        <v>3.76</v>
      </c>
      <c r="D16" s="16">
        <v>3.9</v>
      </c>
      <c r="E16" s="16">
        <v>3.9</v>
      </c>
      <c r="F16" s="16">
        <v>3.9</v>
      </c>
      <c r="G16" s="16">
        <v>0.14000000000000012</v>
      </c>
      <c r="H16" s="17">
        <v>3.7234042553191626E-2</v>
      </c>
      <c r="I16" s="18">
        <v>92</v>
      </c>
      <c r="J16" s="19">
        <v>444556</v>
      </c>
      <c r="K16" s="19">
        <v>1707652.69</v>
      </c>
      <c r="M16" s="23" t="s">
        <v>32</v>
      </c>
      <c r="N16" s="24">
        <v>12</v>
      </c>
      <c r="O16" s="25">
        <v>7.1428571428571397</v>
      </c>
      <c r="T16" s="22">
        <f>[1]NSE!T11</f>
        <v>0</v>
      </c>
    </row>
    <row r="17" spans="1:20">
      <c r="A17" s="16" t="s">
        <v>33</v>
      </c>
      <c r="B17" s="16">
        <v>147.6</v>
      </c>
      <c r="C17" s="16">
        <v>147.6</v>
      </c>
      <c r="D17" s="16">
        <v>0</v>
      </c>
      <c r="E17" s="16">
        <v>0</v>
      </c>
      <c r="F17" s="16">
        <v>147.6</v>
      </c>
      <c r="G17" s="16">
        <v>0</v>
      </c>
      <c r="H17" s="17">
        <v>0</v>
      </c>
      <c r="I17" s="18">
        <v>200</v>
      </c>
      <c r="J17" s="19">
        <v>106710</v>
      </c>
      <c r="K17" s="19">
        <v>14176457.65</v>
      </c>
      <c r="T17" s="22">
        <f>[1]NSE!T12</f>
        <v>0</v>
      </c>
    </row>
    <row r="18" spans="1:20">
      <c r="A18" s="16" t="s">
        <v>34</v>
      </c>
      <c r="B18" s="16">
        <v>562.79999999999995</v>
      </c>
      <c r="C18" s="16">
        <v>562.79999999999995</v>
      </c>
      <c r="D18" s="16">
        <v>0</v>
      </c>
      <c r="E18" s="16">
        <v>0</v>
      </c>
      <c r="F18" s="16">
        <v>562.79999999999995</v>
      </c>
      <c r="G18" s="16">
        <v>0</v>
      </c>
      <c r="H18" s="17">
        <v>0</v>
      </c>
      <c r="I18" s="18">
        <v>568</v>
      </c>
      <c r="J18" s="19">
        <v>148315</v>
      </c>
      <c r="K18" s="19">
        <v>78670549.599999994</v>
      </c>
      <c r="M18" s="14" t="s">
        <v>14</v>
      </c>
      <c r="N18" s="15" t="s">
        <v>12</v>
      </c>
      <c r="O18" s="13" t="s">
        <v>13</v>
      </c>
      <c r="T18" s="22">
        <f>[1]NSE!T13</f>
        <v>0</v>
      </c>
    </row>
    <row r="19" spans="1:20">
      <c r="A19" s="16" t="s">
        <v>35</v>
      </c>
      <c r="B19" s="16">
        <v>378</v>
      </c>
      <c r="C19" s="16">
        <v>378</v>
      </c>
      <c r="D19" s="16">
        <v>0</v>
      </c>
      <c r="E19" s="16">
        <v>0</v>
      </c>
      <c r="F19" s="16">
        <v>378</v>
      </c>
      <c r="G19" s="16">
        <v>0</v>
      </c>
      <c r="H19" s="17">
        <v>0</v>
      </c>
      <c r="I19" s="18">
        <v>2727</v>
      </c>
      <c r="J19" s="19">
        <v>820029</v>
      </c>
      <c r="K19" s="19">
        <v>304905645.69999999</v>
      </c>
      <c r="L19" s="22"/>
      <c r="M19" s="1" t="s">
        <v>36</v>
      </c>
      <c r="N19" s="26">
        <v>122.85</v>
      </c>
      <c r="O19" s="22">
        <v>-10.000000000000009</v>
      </c>
      <c r="T19" s="22">
        <f>[1]NSE!T14</f>
        <v>0</v>
      </c>
    </row>
    <row r="20" spans="1:20">
      <c r="A20" s="16" t="s">
        <v>37</v>
      </c>
      <c r="B20" s="16">
        <v>939</v>
      </c>
      <c r="C20" s="16">
        <v>939</v>
      </c>
      <c r="D20" s="16">
        <v>0</v>
      </c>
      <c r="E20" s="16">
        <v>0</v>
      </c>
      <c r="F20" s="16">
        <v>939</v>
      </c>
      <c r="G20" s="16">
        <v>0</v>
      </c>
      <c r="H20" s="17">
        <v>0</v>
      </c>
      <c r="I20" s="18">
        <v>1413</v>
      </c>
      <c r="J20" s="19">
        <v>229683</v>
      </c>
      <c r="K20" s="19">
        <v>200116756.40000001</v>
      </c>
      <c r="M20" s="1" t="s">
        <v>19</v>
      </c>
      <c r="N20" s="26">
        <v>7.45</v>
      </c>
      <c r="O20" s="22">
        <v>-9.6969696969696919</v>
      </c>
      <c r="T20" s="22">
        <f>[1]NSE!T15</f>
        <v>0</v>
      </c>
    </row>
    <row r="21" spans="1:20">
      <c r="A21" s="16" t="s">
        <v>38</v>
      </c>
      <c r="B21" s="16">
        <v>69</v>
      </c>
      <c r="C21" s="16">
        <v>69</v>
      </c>
      <c r="D21" s="16">
        <v>0</v>
      </c>
      <c r="E21" s="16">
        <v>0</v>
      </c>
      <c r="F21" s="16">
        <v>69</v>
      </c>
      <c r="G21" s="16">
        <v>0</v>
      </c>
      <c r="H21" s="17">
        <v>0</v>
      </c>
      <c r="I21" s="18">
        <v>549</v>
      </c>
      <c r="J21" s="19">
        <v>1618567</v>
      </c>
      <c r="K21" s="19">
        <v>102385991.75</v>
      </c>
      <c r="M21" s="1" t="s">
        <v>39</v>
      </c>
      <c r="N21" s="26">
        <v>13.45</v>
      </c>
      <c r="O21" s="22">
        <v>-9.4276094276094291</v>
      </c>
      <c r="T21" s="22">
        <f>[1]NSE!T16</f>
        <v>0</v>
      </c>
    </row>
    <row r="22" spans="1:20">
      <c r="A22" s="16" t="s">
        <v>40</v>
      </c>
      <c r="B22" s="16">
        <v>175.1</v>
      </c>
      <c r="C22" s="16">
        <v>175.1</v>
      </c>
      <c r="D22" s="16">
        <v>0</v>
      </c>
      <c r="E22" s="16">
        <v>0</v>
      </c>
      <c r="F22" s="16">
        <v>175.1</v>
      </c>
      <c r="G22" s="16">
        <v>0</v>
      </c>
      <c r="H22" s="17">
        <v>0</v>
      </c>
      <c r="I22" s="18">
        <v>156</v>
      </c>
      <c r="J22" s="19">
        <v>49718</v>
      </c>
      <c r="K22" s="19">
        <v>7934529.8499999996</v>
      </c>
      <c r="L22" s="22"/>
      <c r="M22" s="1" t="s">
        <v>41</v>
      </c>
      <c r="N22" s="26">
        <v>4.0599999999999996</v>
      </c>
      <c r="O22" s="22">
        <v>-9.3750000000000213</v>
      </c>
      <c r="T22" s="22">
        <f>[1]NSE!T17</f>
        <v>0</v>
      </c>
    </row>
    <row r="23" spans="1:20">
      <c r="A23" s="16" t="s">
        <v>42</v>
      </c>
      <c r="B23" s="16">
        <v>6.2</v>
      </c>
      <c r="C23" s="16">
        <v>6.2</v>
      </c>
      <c r="D23" s="16">
        <v>6.2</v>
      </c>
      <c r="E23" s="16">
        <v>6.2</v>
      </c>
      <c r="F23" s="16">
        <v>6.2</v>
      </c>
      <c r="G23" s="16">
        <v>0</v>
      </c>
      <c r="H23" s="17">
        <v>0</v>
      </c>
      <c r="I23" s="18">
        <v>161</v>
      </c>
      <c r="J23" s="19">
        <v>1140668</v>
      </c>
      <c r="K23" s="19">
        <v>7004957.2000000002</v>
      </c>
      <c r="M23" s="1" t="s">
        <v>43</v>
      </c>
      <c r="N23" s="26">
        <v>10.5</v>
      </c>
      <c r="O23" s="22">
        <v>-8.6956521739130483</v>
      </c>
      <c r="T23" s="22">
        <f>[1]NSE!T18</f>
        <v>0</v>
      </c>
    </row>
    <row r="24" spans="1:20">
      <c r="A24" s="16" t="s">
        <v>44</v>
      </c>
      <c r="B24" s="16">
        <v>13</v>
      </c>
      <c r="C24" s="16">
        <v>13</v>
      </c>
      <c r="D24" s="16">
        <v>13</v>
      </c>
      <c r="E24" s="16">
        <v>13</v>
      </c>
      <c r="F24" s="16">
        <v>13</v>
      </c>
      <c r="G24" s="16">
        <v>0</v>
      </c>
      <c r="H24" s="17">
        <v>0</v>
      </c>
      <c r="I24" s="18">
        <v>183</v>
      </c>
      <c r="J24" s="19">
        <v>832790</v>
      </c>
      <c r="K24" s="19">
        <v>10976363.75</v>
      </c>
      <c r="M24" s="1" t="s">
        <v>45</v>
      </c>
      <c r="N24" s="26">
        <v>1.85</v>
      </c>
      <c r="O24" s="22">
        <v>-6.565656565656564</v>
      </c>
      <c r="T24" s="22">
        <f>[1]NSE!T19</f>
        <v>0</v>
      </c>
    </row>
    <row r="25" spans="1:20">
      <c r="A25" s="16" t="s">
        <v>46</v>
      </c>
      <c r="B25" s="16">
        <v>4</v>
      </c>
      <c r="C25" s="16">
        <v>4</v>
      </c>
      <c r="D25" s="16">
        <v>4.12</v>
      </c>
      <c r="E25" s="16">
        <v>3.95</v>
      </c>
      <c r="F25" s="16">
        <v>4.0199999999999996</v>
      </c>
      <c r="G25" s="16">
        <v>1.9999999999999574E-2</v>
      </c>
      <c r="H25" s="17">
        <v>4.9999999999998934E-3</v>
      </c>
      <c r="I25" s="18">
        <v>1216</v>
      </c>
      <c r="J25" s="19">
        <v>18099210</v>
      </c>
      <c r="K25" s="19">
        <v>72752633.780000001</v>
      </c>
      <c r="M25" s="1" t="s">
        <v>47</v>
      </c>
      <c r="N25" s="26">
        <v>41.15</v>
      </c>
      <c r="O25" s="22">
        <v>-6.477272727272732</v>
      </c>
      <c r="T25" s="22">
        <f>[1]NSE!T20</f>
        <v>0</v>
      </c>
    </row>
    <row r="26" spans="1:20">
      <c r="A26" s="16" t="s">
        <v>48</v>
      </c>
      <c r="B26" s="16">
        <v>6.15</v>
      </c>
      <c r="C26" s="16">
        <v>6.15</v>
      </c>
      <c r="D26" s="16">
        <v>6.15</v>
      </c>
      <c r="E26" s="16">
        <v>6.1</v>
      </c>
      <c r="F26" s="16">
        <v>6.15</v>
      </c>
      <c r="G26" s="16">
        <v>0</v>
      </c>
      <c r="H26" s="17">
        <v>0</v>
      </c>
      <c r="I26" s="18">
        <v>133</v>
      </c>
      <c r="J26" s="19">
        <v>1786372</v>
      </c>
      <c r="K26" s="19">
        <v>11213791.9</v>
      </c>
      <c r="M26" s="1" t="s">
        <v>49</v>
      </c>
      <c r="N26" s="26">
        <v>5.0999999999999996</v>
      </c>
      <c r="O26" s="22">
        <v>-6.4220183486238591</v>
      </c>
      <c r="T26" s="22">
        <f>[1]NSE!T21</f>
        <v>0</v>
      </c>
    </row>
    <row r="27" spans="1:20">
      <c r="A27" s="16" t="s">
        <v>50</v>
      </c>
      <c r="B27" s="16">
        <v>110</v>
      </c>
      <c r="C27" s="16">
        <v>110</v>
      </c>
      <c r="D27" s="16">
        <v>0</v>
      </c>
      <c r="E27" s="16">
        <v>0</v>
      </c>
      <c r="F27" s="16">
        <v>110</v>
      </c>
      <c r="G27" s="16">
        <v>0</v>
      </c>
      <c r="H27" s="17">
        <v>0</v>
      </c>
      <c r="I27" s="18">
        <v>12</v>
      </c>
      <c r="J27" s="19">
        <v>24159</v>
      </c>
      <c r="K27" s="19">
        <v>2923219</v>
      </c>
      <c r="M27" s="1" t="s">
        <v>51</v>
      </c>
      <c r="N27" s="26">
        <v>3</v>
      </c>
      <c r="O27" s="22">
        <v>-5.6603773584905763</v>
      </c>
      <c r="T27" s="22">
        <f>[1]NSE!T22</f>
        <v>0</v>
      </c>
    </row>
    <row r="28" spans="1:20">
      <c r="A28" s="16" t="s">
        <v>24</v>
      </c>
      <c r="B28" s="16">
        <v>6.7</v>
      </c>
      <c r="C28" s="16">
        <v>6.7</v>
      </c>
      <c r="D28" s="16">
        <v>7.37</v>
      </c>
      <c r="E28" s="16">
        <v>6.75</v>
      </c>
      <c r="F28" s="16">
        <v>7.27</v>
      </c>
      <c r="G28" s="16">
        <v>0.5699999999999994</v>
      </c>
      <c r="H28" s="17">
        <v>8.5074626865671465E-2</v>
      </c>
      <c r="I28" s="18">
        <v>267</v>
      </c>
      <c r="J28" s="19">
        <v>4138983</v>
      </c>
      <c r="K28" s="19">
        <v>29254083.5</v>
      </c>
      <c r="M28" s="23" t="s">
        <v>52</v>
      </c>
      <c r="N28" s="27">
        <v>0.95</v>
      </c>
      <c r="O28" s="28">
        <v>-5.0000000000000044</v>
      </c>
      <c r="T28" s="22">
        <f>[1]NSE!T23</f>
        <v>0</v>
      </c>
    </row>
    <row r="29" spans="1:20">
      <c r="A29" s="16" t="s">
        <v>53</v>
      </c>
      <c r="B29" s="16">
        <v>194</v>
      </c>
      <c r="C29" s="16">
        <v>194</v>
      </c>
      <c r="D29" s="16">
        <v>0</v>
      </c>
      <c r="E29" s="16">
        <v>0</v>
      </c>
      <c r="F29" s="16">
        <v>194</v>
      </c>
      <c r="G29" s="16">
        <v>0</v>
      </c>
      <c r="H29" s="17">
        <v>0</v>
      </c>
      <c r="I29" s="18">
        <v>182</v>
      </c>
      <c r="J29" s="19">
        <v>29495</v>
      </c>
      <c r="K29" s="19">
        <v>5331221.8</v>
      </c>
      <c r="T29" s="22">
        <f>[1]NSE!T24</f>
        <v>0</v>
      </c>
    </row>
    <row r="30" spans="1:20">
      <c r="A30" s="16" t="s">
        <v>54</v>
      </c>
      <c r="B30" s="16">
        <v>5.8</v>
      </c>
      <c r="C30" s="16">
        <v>5.8</v>
      </c>
      <c r="D30" s="16">
        <v>0</v>
      </c>
      <c r="E30" s="16">
        <v>0</v>
      </c>
      <c r="F30" s="16">
        <v>5.8</v>
      </c>
      <c r="G30" s="16">
        <v>0</v>
      </c>
      <c r="H30" s="17">
        <v>0</v>
      </c>
      <c r="I30" s="18">
        <v>102</v>
      </c>
      <c r="J30" s="19">
        <v>1956440</v>
      </c>
      <c r="K30" s="19">
        <v>10505782.550000001</v>
      </c>
      <c r="T30" s="22">
        <f>[1]NSE!T25</f>
        <v>0</v>
      </c>
    </row>
    <row r="31" spans="1:20">
      <c r="A31" s="16" t="s">
        <v>55</v>
      </c>
      <c r="B31" s="16">
        <v>83</v>
      </c>
      <c r="C31" s="16">
        <v>83</v>
      </c>
      <c r="D31" s="16">
        <v>0</v>
      </c>
      <c r="E31" s="16">
        <v>0</v>
      </c>
      <c r="F31" s="16">
        <v>83</v>
      </c>
      <c r="G31" s="16">
        <v>0</v>
      </c>
      <c r="H31" s="17">
        <v>0</v>
      </c>
      <c r="I31" s="18">
        <v>285</v>
      </c>
      <c r="J31" s="19">
        <v>347409</v>
      </c>
      <c r="K31" s="19">
        <v>28056440.800000001</v>
      </c>
      <c r="T31" s="22">
        <f>[1]NSE!T26</f>
        <v>0</v>
      </c>
    </row>
    <row r="32" spans="1:20">
      <c r="A32" s="16" t="s">
        <v>51</v>
      </c>
      <c r="B32" s="16">
        <v>3.18</v>
      </c>
      <c r="C32" s="16">
        <v>3.18</v>
      </c>
      <c r="D32" s="16">
        <v>3.15</v>
      </c>
      <c r="E32" s="16">
        <v>3</v>
      </c>
      <c r="F32" s="16">
        <v>3</v>
      </c>
      <c r="G32" s="16">
        <v>-0.18000000000000016</v>
      </c>
      <c r="H32" s="17">
        <v>-5.6603773584905759E-2</v>
      </c>
      <c r="I32" s="18">
        <v>343</v>
      </c>
      <c r="J32" s="19">
        <v>6897323</v>
      </c>
      <c r="K32" s="19">
        <v>21205914.879999999</v>
      </c>
      <c r="N32" s="21"/>
      <c r="O32" s="29"/>
      <c r="T32" s="22">
        <f>[1]NSE!T27</f>
        <v>0</v>
      </c>
    </row>
    <row r="33" spans="1:23">
      <c r="A33" s="16" t="s">
        <v>56</v>
      </c>
      <c r="B33" s="16">
        <v>22</v>
      </c>
      <c r="C33" s="16">
        <v>22</v>
      </c>
      <c r="D33" s="16">
        <v>0</v>
      </c>
      <c r="E33" s="16">
        <v>0</v>
      </c>
      <c r="F33" s="16">
        <v>22</v>
      </c>
      <c r="G33" s="16">
        <v>0</v>
      </c>
      <c r="H33" s="17">
        <v>0</v>
      </c>
      <c r="I33" s="18">
        <v>287</v>
      </c>
      <c r="J33" s="19">
        <v>355364</v>
      </c>
      <c r="K33" s="19">
        <v>7658551.4000000004</v>
      </c>
      <c r="N33" s="30"/>
      <c r="O33" s="29"/>
      <c r="S33" s="31"/>
      <c r="T33" s="22">
        <f>[1]NSE!T28</f>
        <v>0</v>
      </c>
    </row>
    <row r="34" spans="1:23">
      <c r="A34" s="16" t="s">
        <v>45</v>
      </c>
      <c r="B34" s="16">
        <v>1.98</v>
      </c>
      <c r="C34" s="16">
        <v>1.98</v>
      </c>
      <c r="D34" s="16">
        <v>1.9</v>
      </c>
      <c r="E34" s="16">
        <v>1.85</v>
      </c>
      <c r="F34" s="16">
        <v>1.85</v>
      </c>
      <c r="G34" s="16">
        <v>-0.12999999999999989</v>
      </c>
      <c r="H34" s="17">
        <v>-6.5656565656565635E-2</v>
      </c>
      <c r="I34" s="18">
        <v>447</v>
      </c>
      <c r="J34" s="19">
        <v>2747553</v>
      </c>
      <c r="K34" s="19">
        <v>5199236.33</v>
      </c>
      <c r="N34" s="30"/>
      <c r="O34" s="29"/>
      <c r="T34" s="22">
        <f>[1]NSE!T29</f>
        <v>0</v>
      </c>
    </row>
    <row r="35" spans="1:23">
      <c r="A35" s="16" t="s">
        <v>57</v>
      </c>
      <c r="B35" s="16">
        <v>1180</v>
      </c>
      <c r="C35" s="16">
        <v>1180</v>
      </c>
      <c r="D35" s="16">
        <v>0</v>
      </c>
      <c r="E35" s="16">
        <v>0</v>
      </c>
      <c r="F35" s="16">
        <v>1180</v>
      </c>
      <c r="G35" s="16">
        <v>0</v>
      </c>
      <c r="H35" s="17">
        <v>0</v>
      </c>
      <c r="I35" s="18">
        <v>3053</v>
      </c>
      <c r="J35" s="19">
        <v>34772302</v>
      </c>
      <c r="K35" s="19">
        <v>29770385886.799999</v>
      </c>
      <c r="T35" s="22">
        <f>[1]NSE!T30</f>
        <v>0</v>
      </c>
    </row>
    <row r="36" spans="1:23">
      <c r="A36" s="16" t="s">
        <v>58</v>
      </c>
      <c r="B36" s="16">
        <v>72</v>
      </c>
      <c r="C36" s="16">
        <v>72</v>
      </c>
      <c r="D36" s="16">
        <v>72.849999999999994</v>
      </c>
      <c r="E36" s="16">
        <v>72</v>
      </c>
      <c r="F36" s="16">
        <v>72</v>
      </c>
      <c r="G36" s="16">
        <v>0</v>
      </c>
      <c r="H36" s="17">
        <v>0</v>
      </c>
      <c r="I36" s="18">
        <v>3304</v>
      </c>
      <c r="J36" s="19">
        <v>5482342</v>
      </c>
      <c r="K36" s="19">
        <v>396997049.80000001</v>
      </c>
      <c r="T36" s="22">
        <f>[1]NSE!T31</f>
        <v>0</v>
      </c>
      <c r="W36" s="18"/>
    </row>
    <row r="37" spans="1:23">
      <c r="A37" s="16" t="s">
        <v>59</v>
      </c>
      <c r="B37" s="16">
        <v>5.4</v>
      </c>
      <c r="C37" s="16">
        <v>5.4</v>
      </c>
      <c r="D37" s="16">
        <v>5.35</v>
      </c>
      <c r="E37" s="16">
        <v>5.35</v>
      </c>
      <c r="F37" s="16">
        <v>5.35</v>
      </c>
      <c r="G37" s="16">
        <v>-5.0000000000000711E-2</v>
      </c>
      <c r="H37" s="17">
        <v>-9.2592592592594114E-3</v>
      </c>
      <c r="I37" s="18">
        <v>151</v>
      </c>
      <c r="J37" s="19">
        <v>972185</v>
      </c>
      <c r="K37" s="19">
        <v>5072604.88</v>
      </c>
      <c r="N37" s="32"/>
      <c r="O37" s="33"/>
      <c r="P37" s="1" t="s">
        <v>0</v>
      </c>
      <c r="T37" s="22">
        <f>[1]NSE!T32</f>
        <v>0</v>
      </c>
      <c r="W37" s="18"/>
    </row>
    <row r="38" spans="1:23">
      <c r="A38" s="16" t="s">
        <v>60</v>
      </c>
      <c r="B38" s="16">
        <v>10</v>
      </c>
      <c r="C38" s="16">
        <v>10</v>
      </c>
      <c r="D38" s="16">
        <v>10.199999999999999</v>
      </c>
      <c r="E38" s="16">
        <v>9.9</v>
      </c>
      <c r="F38" s="16">
        <v>9.9</v>
      </c>
      <c r="G38" s="16">
        <v>-9.9999999999999645E-2</v>
      </c>
      <c r="H38" s="17">
        <v>-1.0000000000000009E-2</v>
      </c>
      <c r="I38" s="18">
        <v>421</v>
      </c>
      <c r="J38" s="19">
        <v>4643123</v>
      </c>
      <c r="K38" s="19">
        <v>46464707.899999999</v>
      </c>
      <c r="T38" s="22">
        <f>[1]NSE!T33</f>
        <v>0</v>
      </c>
      <c r="W38" s="18"/>
    </row>
    <row r="39" spans="1:23">
      <c r="A39" s="16" t="s">
        <v>61</v>
      </c>
      <c r="B39" s="16">
        <v>37</v>
      </c>
      <c r="C39" s="16">
        <v>37</v>
      </c>
      <c r="D39" s="16">
        <v>0</v>
      </c>
      <c r="E39" s="16">
        <v>0</v>
      </c>
      <c r="F39" s="16">
        <v>37</v>
      </c>
      <c r="G39" s="16">
        <v>0</v>
      </c>
      <c r="H39" s="17">
        <v>0</v>
      </c>
      <c r="I39" s="18">
        <v>6</v>
      </c>
      <c r="J39" s="19">
        <v>30471</v>
      </c>
      <c r="K39" s="19">
        <v>1216081</v>
      </c>
      <c r="T39" s="22">
        <f>[1]NSE!T34</f>
        <v>0</v>
      </c>
      <c r="W39" s="18"/>
    </row>
    <row r="40" spans="1:23">
      <c r="A40" s="16" t="s">
        <v>62</v>
      </c>
      <c r="B40" s="16">
        <v>30</v>
      </c>
      <c r="C40" s="16">
        <v>30</v>
      </c>
      <c r="D40" s="16">
        <v>30.8</v>
      </c>
      <c r="E40" s="16">
        <v>30.8</v>
      </c>
      <c r="F40" s="16">
        <v>30.8</v>
      </c>
      <c r="G40" s="16">
        <v>0.80000000000000071</v>
      </c>
      <c r="H40" s="17">
        <v>2.6666666666666616E-2</v>
      </c>
      <c r="I40" s="18">
        <v>246</v>
      </c>
      <c r="J40" s="19">
        <v>799379</v>
      </c>
      <c r="K40" s="19">
        <v>24907786.399999999</v>
      </c>
      <c r="T40" s="22">
        <f>[1]NSE!T35</f>
        <v>0</v>
      </c>
      <c r="W40" s="18"/>
    </row>
    <row r="41" spans="1:23">
      <c r="A41" s="16" t="s">
        <v>63</v>
      </c>
      <c r="B41" s="16">
        <v>97.4</v>
      </c>
      <c r="C41" s="16">
        <v>97.4</v>
      </c>
      <c r="D41" s="16">
        <v>0</v>
      </c>
      <c r="E41" s="16">
        <v>0</v>
      </c>
      <c r="F41" s="16">
        <v>97.4</v>
      </c>
      <c r="G41" s="16">
        <v>0</v>
      </c>
      <c r="H41" s="17">
        <v>0</v>
      </c>
      <c r="I41" s="18">
        <v>249</v>
      </c>
      <c r="J41" s="19">
        <v>373960</v>
      </c>
      <c r="K41" s="19">
        <v>34434377.25</v>
      </c>
      <c r="T41" s="22">
        <f>[1]NSE!T36</f>
        <v>0</v>
      </c>
      <c r="W41" s="18"/>
    </row>
    <row r="42" spans="1:23">
      <c r="A42" s="16" t="s">
        <v>64</v>
      </c>
      <c r="B42" s="16">
        <v>18</v>
      </c>
      <c r="C42" s="16">
        <v>18</v>
      </c>
      <c r="D42" s="16">
        <v>0</v>
      </c>
      <c r="E42" s="16">
        <v>0</v>
      </c>
      <c r="F42" s="16">
        <v>18</v>
      </c>
      <c r="G42" s="16">
        <v>0</v>
      </c>
      <c r="H42" s="17">
        <v>0</v>
      </c>
      <c r="I42" s="18">
        <v>130</v>
      </c>
      <c r="J42" s="19">
        <v>174991</v>
      </c>
      <c r="K42" s="19">
        <v>3015633.55</v>
      </c>
      <c r="T42" s="22">
        <f>[1]NSE!T37</f>
        <v>0</v>
      </c>
    </row>
    <row r="43" spans="1:23">
      <c r="A43" s="16" t="s">
        <v>65</v>
      </c>
      <c r="B43" s="16">
        <v>210</v>
      </c>
      <c r="C43" s="16">
        <v>210</v>
      </c>
      <c r="D43" s="16">
        <v>0</v>
      </c>
      <c r="E43" s="16">
        <v>0</v>
      </c>
      <c r="F43" s="16">
        <v>210</v>
      </c>
      <c r="G43" s="16">
        <v>0</v>
      </c>
      <c r="H43" s="17">
        <v>0</v>
      </c>
      <c r="I43" s="18">
        <v>53</v>
      </c>
      <c r="J43" s="19">
        <v>18618</v>
      </c>
      <c r="K43" s="19">
        <v>3518802</v>
      </c>
      <c r="T43" s="22">
        <f>[1]NSE!T38</f>
        <v>0</v>
      </c>
    </row>
    <row r="44" spans="1:23">
      <c r="A44" s="16" t="s">
        <v>32</v>
      </c>
      <c r="B44" s="16">
        <v>11.2</v>
      </c>
      <c r="C44" s="16">
        <v>11.2</v>
      </c>
      <c r="D44" s="16">
        <v>12.3</v>
      </c>
      <c r="E44" s="16">
        <v>11.25</v>
      </c>
      <c r="F44" s="16">
        <v>12</v>
      </c>
      <c r="G44" s="16">
        <v>0.80000000000000071</v>
      </c>
      <c r="H44" s="17">
        <v>7.1428571428571397E-2</v>
      </c>
      <c r="I44" s="18">
        <v>1626</v>
      </c>
      <c r="J44" s="19">
        <v>157803629</v>
      </c>
      <c r="K44" s="19">
        <v>1891868492.1500001</v>
      </c>
      <c r="N44" s="21"/>
      <c r="O44" s="33"/>
      <c r="T44" s="22">
        <f>[1]NSE!T39</f>
        <v>0</v>
      </c>
    </row>
    <row r="45" spans="1:23">
      <c r="A45" s="16" t="s">
        <v>66</v>
      </c>
      <c r="B45" s="16">
        <v>20.7</v>
      </c>
      <c r="C45" s="16">
        <v>20.7</v>
      </c>
      <c r="D45" s="16">
        <v>20.7</v>
      </c>
      <c r="E45" s="16">
        <v>20.100000000000001</v>
      </c>
      <c r="F45" s="16">
        <v>20.6</v>
      </c>
      <c r="G45" s="16">
        <v>-9.9999999999997868E-2</v>
      </c>
      <c r="H45" s="17">
        <v>-4.8309178743960457E-3</v>
      </c>
      <c r="I45" s="18">
        <v>1070</v>
      </c>
      <c r="J45" s="19">
        <v>15168609</v>
      </c>
      <c r="K45" s="19">
        <v>307545763.75</v>
      </c>
      <c r="N45" s="21"/>
      <c r="O45" s="33"/>
      <c r="T45" s="22">
        <f>[1]NSE!T40</f>
        <v>0</v>
      </c>
    </row>
    <row r="46" spans="1:23">
      <c r="A46" s="16" t="s">
        <v>36</v>
      </c>
      <c r="B46" s="16">
        <v>136.5</v>
      </c>
      <c r="C46" s="16">
        <v>136.5</v>
      </c>
      <c r="D46" s="16">
        <v>122.85</v>
      </c>
      <c r="E46" s="16">
        <v>122.85</v>
      </c>
      <c r="F46" s="16">
        <v>122.85</v>
      </c>
      <c r="G46" s="16">
        <v>-13.650000000000006</v>
      </c>
      <c r="H46" s="17">
        <v>-0.10000000000000009</v>
      </c>
      <c r="I46" s="18">
        <v>783</v>
      </c>
      <c r="J46" s="19">
        <v>462438</v>
      </c>
      <c r="K46" s="19">
        <v>56810508.299999997</v>
      </c>
      <c r="N46" s="21"/>
      <c r="O46" s="33"/>
      <c r="T46" s="22">
        <f>[1]NSE!T41</f>
        <v>0</v>
      </c>
    </row>
    <row r="47" spans="1:23">
      <c r="A47" s="16" t="s">
        <v>67</v>
      </c>
      <c r="B47" s="16">
        <v>62</v>
      </c>
      <c r="C47" s="16">
        <v>62</v>
      </c>
      <c r="D47" s="16">
        <v>63.6</v>
      </c>
      <c r="E47" s="16">
        <v>63.6</v>
      </c>
      <c r="F47" s="16">
        <v>63.6</v>
      </c>
      <c r="G47" s="16">
        <v>1.6000000000000014</v>
      </c>
      <c r="H47" s="17">
        <v>2.5806451612903292E-2</v>
      </c>
      <c r="I47" s="18">
        <v>1182</v>
      </c>
      <c r="J47" s="19">
        <v>3911744</v>
      </c>
      <c r="K47" s="19">
        <v>244130691.94999999</v>
      </c>
      <c r="N47" s="21"/>
      <c r="O47" s="33"/>
      <c r="T47" s="22">
        <f>[1]NSE!T42</f>
        <v>0</v>
      </c>
    </row>
    <row r="48" spans="1:23">
      <c r="A48" s="16" t="s">
        <v>52</v>
      </c>
      <c r="B48" s="16">
        <v>1</v>
      </c>
      <c r="C48" s="16">
        <v>1</v>
      </c>
      <c r="D48" s="16">
        <v>1.02</v>
      </c>
      <c r="E48" s="16">
        <v>0.94</v>
      </c>
      <c r="F48" s="16">
        <v>0.95</v>
      </c>
      <c r="G48" s="16">
        <v>-5.0000000000000044E-2</v>
      </c>
      <c r="H48" s="17">
        <v>-5.0000000000000044E-2</v>
      </c>
      <c r="I48" s="18">
        <v>167</v>
      </c>
      <c r="J48" s="19">
        <v>6220410</v>
      </c>
      <c r="K48" s="19">
        <v>6014340.2000000002</v>
      </c>
      <c r="N48" s="21"/>
      <c r="O48" s="33"/>
      <c r="T48" s="22">
        <f>[1]NSE!T43</f>
        <v>0</v>
      </c>
    </row>
    <row r="49" spans="1:20">
      <c r="A49" s="16" t="s">
        <v>68</v>
      </c>
      <c r="B49" s="16">
        <v>8.3000000000000007</v>
      </c>
      <c r="C49" s="16">
        <v>8.3000000000000007</v>
      </c>
      <c r="D49" s="16">
        <v>8.9499999999999993</v>
      </c>
      <c r="E49" s="16">
        <v>8.6</v>
      </c>
      <c r="F49" s="16">
        <v>8.6</v>
      </c>
      <c r="G49" s="16">
        <v>0.29999999999999893</v>
      </c>
      <c r="H49" s="17">
        <v>3.6144578313252795E-2</v>
      </c>
      <c r="I49" s="18">
        <v>437</v>
      </c>
      <c r="J49" s="19">
        <v>3503300</v>
      </c>
      <c r="K49" s="19">
        <v>30677522.629999999</v>
      </c>
      <c r="N49" s="21"/>
      <c r="O49" s="33"/>
      <c r="T49" s="22">
        <f>[1]NSE!T44</f>
        <v>0</v>
      </c>
    </row>
    <row r="50" spans="1:20">
      <c r="A50" s="16" t="s">
        <v>69</v>
      </c>
      <c r="B50" s="16">
        <v>1132.5</v>
      </c>
      <c r="C50" s="16">
        <v>1132.5</v>
      </c>
      <c r="D50" s="16">
        <v>0</v>
      </c>
      <c r="E50" s="16">
        <v>0</v>
      </c>
      <c r="F50" s="16">
        <v>1132.5</v>
      </c>
      <c r="G50" s="16">
        <v>0</v>
      </c>
      <c r="H50" s="17">
        <v>0</v>
      </c>
      <c r="I50" s="18">
        <v>50</v>
      </c>
      <c r="J50" s="19">
        <v>6800</v>
      </c>
      <c r="K50" s="19">
        <v>6931240</v>
      </c>
      <c r="N50" s="21"/>
      <c r="O50" s="33"/>
      <c r="T50" s="22">
        <f>[1]NSE!T45</f>
        <v>0</v>
      </c>
    </row>
    <row r="51" spans="1:20">
      <c r="A51" s="16" t="s">
        <v>70</v>
      </c>
      <c r="B51" s="16">
        <v>134.69999999999999</v>
      </c>
      <c r="C51" s="16">
        <v>134.69999999999999</v>
      </c>
      <c r="D51" s="16">
        <v>135.9</v>
      </c>
      <c r="E51" s="16">
        <v>135</v>
      </c>
      <c r="F51" s="16">
        <v>135</v>
      </c>
      <c r="G51" s="16">
        <v>0.30000000000001137</v>
      </c>
      <c r="H51" s="17">
        <v>2.2271714922050823E-3</v>
      </c>
      <c r="I51" s="18">
        <v>4481</v>
      </c>
      <c r="J51" s="19">
        <v>18857116</v>
      </c>
      <c r="K51" s="19">
        <v>2547131827.6999998</v>
      </c>
      <c r="N51" s="21"/>
      <c r="O51" s="33"/>
      <c r="T51" s="22">
        <f>[1]NSE!T46</f>
        <v>0</v>
      </c>
    </row>
    <row r="52" spans="1:20">
      <c r="A52" s="16" t="s">
        <v>71</v>
      </c>
      <c r="B52" s="16">
        <v>1.1200000000000001</v>
      </c>
      <c r="C52" s="16">
        <v>1.1200000000000001</v>
      </c>
      <c r="D52" s="16">
        <v>1.1299999999999999</v>
      </c>
      <c r="E52" s="16">
        <v>1.1299999999999999</v>
      </c>
      <c r="F52" s="16">
        <v>1.1299999999999999</v>
      </c>
      <c r="G52" s="16">
        <v>9.9999999999997868E-3</v>
      </c>
      <c r="H52" s="17">
        <v>8.9285714285711748E-3</v>
      </c>
      <c r="I52" s="18">
        <v>111</v>
      </c>
      <c r="J52" s="19">
        <v>1997828</v>
      </c>
      <c r="K52" s="19">
        <v>2256239.04</v>
      </c>
      <c r="N52" s="21"/>
      <c r="O52" s="33"/>
      <c r="T52" s="22">
        <f>[1]NSE!T47</f>
        <v>0</v>
      </c>
    </row>
    <row r="53" spans="1:20">
      <c r="A53" s="16" t="s">
        <v>72</v>
      </c>
      <c r="B53" s="16">
        <v>402.6</v>
      </c>
      <c r="C53" s="16">
        <v>402.6</v>
      </c>
      <c r="D53" s="16">
        <v>0</v>
      </c>
      <c r="E53" s="16">
        <v>0</v>
      </c>
      <c r="F53" s="16">
        <v>402.6</v>
      </c>
      <c r="G53" s="16">
        <v>0</v>
      </c>
      <c r="H53" s="17">
        <v>0</v>
      </c>
      <c r="I53" s="18">
        <v>391</v>
      </c>
      <c r="J53" s="19">
        <v>115680</v>
      </c>
      <c r="K53" s="19">
        <v>42995396.5</v>
      </c>
      <c r="N53" s="21"/>
      <c r="O53" s="33"/>
      <c r="T53" s="22">
        <f>[1]NSE!T48</f>
        <v>0</v>
      </c>
    </row>
    <row r="54" spans="1:20">
      <c r="A54" s="16" t="s">
        <v>22</v>
      </c>
      <c r="B54" s="16">
        <v>3.6</v>
      </c>
      <c r="C54" s="16">
        <v>3.6</v>
      </c>
      <c r="D54" s="16">
        <v>3.92</v>
      </c>
      <c r="E54" s="16">
        <v>3.7</v>
      </c>
      <c r="F54" s="16">
        <v>3.92</v>
      </c>
      <c r="G54" s="16">
        <v>0.31999999999999984</v>
      </c>
      <c r="H54" s="17">
        <v>8.8888888888888795E-2</v>
      </c>
      <c r="I54" s="18">
        <v>82</v>
      </c>
      <c r="J54" s="19">
        <v>1061775</v>
      </c>
      <c r="K54" s="19">
        <v>4023677.83</v>
      </c>
      <c r="N54" s="21"/>
      <c r="O54" s="33"/>
      <c r="T54" s="22">
        <f>[1]NSE!T49</f>
        <v>0</v>
      </c>
    </row>
    <row r="55" spans="1:20">
      <c r="A55" s="16" t="s">
        <v>73</v>
      </c>
      <c r="B55" s="16">
        <v>18.350000000000001</v>
      </c>
      <c r="C55" s="16">
        <v>18.350000000000001</v>
      </c>
      <c r="D55" s="16">
        <v>18.350000000000001</v>
      </c>
      <c r="E55" s="16">
        <v>18.350000000000001</v>
      </c>
      <c r="F55" s="16">
        <v>18.350000000000001</v>
      </c>
      <c r="G55" s="16">
        <v>0</v>
      </c>
      <c r="H55" s="17">
        <v>0</v>
      </c>
      <c r="I55" s="18">
        <v>439</v>
      </c>
      <c r="J55" s="19">
        <v>2158385</v>
      </c>
      <c r="K55" s="19">
        <v>39168103.25</v>
      </c>
      <c r="N55" s="21"/>
      <c r="O55" s="33"/>
      <c r="T55" s="22">
        <f>[1]NSE!T50</f>
        <v>0</v>
      </c>
    </row>
    <row r="56" spans="1:20">
      <c r="A56" s="16" t="s">
        <v>47</v>
      </c>
      <c r="B56" s="16">
        <v>44</v>
      </c>
      <c r="C56" s="16">
        <v>44</v>
      </c>
      <c r="D56" s="16">
        <v>48.4</v>
      </c>
      <c r="E56" s="16">
        <v>41.15</v>
      </c>
      <c r="F56" s="16">
        <v>41.15</v>
      </c>
      <c r="G56" s="16">
        <v>-2.8500000000000014</v>
      </c>
      <c r="H56" s="17">
        <v>-6.4772727272727315E-2</v>
      </c>
      <c r="I56" s="18">
        <v>229</v>
      </c>
      <c r="J56" s="19">
        <v>5558192</v>
      </c>
      <c r="K56" s="19">
        <v>233747249.40000001</v>
      </c>
      <c r="N56" s="21"/>
      <c r="O56" s="33"/>
      <c r="T56" s="22">
        <f>[1]NSE!T51</f>
        <v>0</v>
      </c>
    </row>
    <row r="57" spans="1:20">
      <c r="A57" s="16" t="s">
        <v>74</v>
      </c>
      <c r="B57" s="16">
        <v>37.6</v>
      </c>
      <c r="C57" s="16">
        <v>37.6</v>
      </c>
      <c r="D57" s="16">
        <v>0</v>
      </c>
      <c r="E57" s="16">
        <v>0</v>
      </c>
      <c r="F57" s="16">
        <v>37.6</v>
      </c>
      <c r="G57" s="16">
        <v>0</v>
      </c>
      <c r="H57" s="17">
        <v>0</v>
      </c>
      <c r="I57" s="18">
        <v>34</v>
      </c>
      <c r="J57" s="19">
        <v>52087</v>
      </c>
      <c r="K57" s="19">
        <v>1774174.55</v>
      </c>
      <c r="N57" s="21"/>
      <c r="O57" s="33"/>
      <c r="T57" s="22">
        <f>[1]NSE!T52</f>
        <v>0</v>
      </c>
    </row>
    <row r="58" spans="1:20">
      <c r="A58" s="16" t="s">
        <v>75</v>
      </c>
      <c r="B58" s="16">
        <v>9.35</v>
      </c>
      <c r="C58" s="16">
        <v>9.35</v>
      </c>
      <c r="D58" s="16">
        <v>0</v>
      </c>
      <c r="E58" s="16">
        <v>0</v>
      </c>
      <c r="F58" s="16">
        <v>9.35</v>
      </c>
      <c r="G58" s="16">
        <v>0</v>
      </c>
      <c r="H58" s="17">
        <v>0</v>
      </c>
      <c r="I58" s="18">
        <v>13</v>
      </c>
      <c r="J58" s="19">
        <v>33061</v>
      </c>
      <c r="K58" s="19">
        <v>301110.25</v>
      </c>
      <c r="N58" s="21"/>
      <c r="O58" s="33"/>
      <c r="T58" s="22"/>
    </row>
    <row r="59" spans="1:20">
      <c r="A59" s="16" t="s">
        <v>76</v>
      </c>
      <c r="B59" s="16">
        <v>12.35</v>
      </c>
      <c r="C59" s="16">
        <v>12.35</v>
      </c>
      <c r="D59" s="16">
        <v>12.35</v>
      </c>
      <c r="E59" s="16">
        <v>12.3</v>
      </c>
      <c r="F59" s="16">
        <v>12.3</v>
      </c>
      <c r="G59" s="16">
        <v>-4.9999999999998934E-2</v>
      </c>
      <c r="H59" s="17">
        <v>-4.0485829959513442E-3</v>
      </c>
      <c r="I59" s="18">
        <v>194</v>
      </c>
      <c r="J59" s="19">
        <v>1397768</v>
      </c>
      <c r="K59" s="19">
        <v>17240727.550000001</v>
      </c>
      <c r="N59" s="21"/>
      <c r="O59" s="33"/>
      <c r="T59" s="22">
        <f>[1]NSE!T55</f>
        <v>0</v>
      </c>
    </row>
    <row r="60" spans="1:20">
      <c r="A60" s="16" t="s">
        <v>16</v>
      </c>
      <c r="B60" s="16">
        <v>7.26</v>
      </c>
      <c r="C60" s="16">
        <v>7.26</v>
      </c>
      <c r="D60" s="16">
        <v>7.98</v>
      </c>
      <c r="E60" s="16">
        <v>7.98</v>
      </c>
      <c r="F60" s="16">
        <v>7.98</v>
      </c>
      <c r="G60" s="16">
        <v>0.72000000000000064</v>
      </c>
      <c r="H60" s="17">
        <v>9.9173553719008378E-2</v>
      </c>
      <c r="I60" s="18">
        <v>695</v>
      </c>
      <c r="J60" s="19">
        <v>4137553</v>
      </c>
      <c r="K60" s="19">
        <v>32838420</v>
      </c>
      <c r="N60" s="21"/>
      <c r="O60" s="33"/>
      <c r="T60" s="22">
        <f>[1]NSE!T56</f>
        <v>0</v>
      </c>
    </row>
    <row r="61" spans="1:20">
      <c r="A61" s="16" t="s">
        <v>77</v>
      </c>
      <c r="B61" s="16">
        <v>9</v>
      </c>
      <c r="C61" s="16">
        <v>9</v>
      </c>
      <c r="D61" s="16">
        <v>9.1999999999999993</v>
      </c>
      <c r="E61" s="16">
        <v>8.9499999999999993</v>
      </c>
      <c r="F61" s="16">
        <v>9</v>
      </c>
      <c r="G61" s="16">
        <v>0</v>
      </c>
      <c r="H61" s="17">
        <v>0</v>
      </c>
      <c r="I61" s="18">
        <v>2355</v>
      </c>
      <c r="J61" s="19">
        <v>32702205</v>
      </c>
      <c r="K61" s="19">
        <v>294306287.5</v>
      </c>
      <c r="N61" s="21"/>
      <c r="O61" s="33"/>
      <c r="T61" s="22">
        <f>[1]NSE!T57</f>
        <v>0</v>
      </c>
    </row>
    <row r="62" spans="1:20">
      <c r="A62" s="16" t="s">
        <v>78</v>
      </c>
      <c r="B62" s="16">
        <v>3.45</v>
      </c>
      <c r="C62" s="16">
        <v>3.45</v>
      </c>
      <c r="D62" s="16">
        <v>3.45</v>
      </c>
      <c r="E62" s="16">
        <v>3.38</v>
      </c>
      <c r="F62" s="16">
        <v>3.38</v>
      </c>
      <c r="G62" s="16">
        <v>-7.0000000000000284E-2</v>
      </c>
      <c r="H62" s="17">
        <v>-2.0289855072463836E-2</v>
      </c>
      <c r="I62" s="18">
        <v>570</v>
      </c>
      <c r="J62" s="19">
        <v>9550734</v>
      </c>
      <c r="K62" s="19">
        <v>32858360.02</v>
      </c>
      <c r="N62" s="21"/>
      <c r="O62" s="33"/>
      <c r="T62" s="22">
        <f>[1]NSE!T58</f>
        <v>0</v>
      </c>
    </row>
    <row r="63" spans="1:20">
      <c r="A63" s="16" t="s">
        <v>79</v>
      </c>
      <c r="B63" s="16">
        <v>310.8</v>
      </c>
      <c r="C63" s="16">
        <v>310.8</v>
      </c>
      <c r="D63" s="16">
        <v>0</v>
      </c>
      <c r="E63" s="16">
        <v>0</v>
      </c>
      <c r="F63" s="16">
        <v>310.8</v>
      </c>
      <c r="G63" s="16">
        <v>0</v>
      </c>
      <c r="H63" s="17">
        <v>0</v>
      </c>
      <c r="I63" s="18">
        <v>142</v>
      </c>
      <c r="J63" s="19">
        <v>23809</v>
      </c>
      <c r="K63" s="19">
        <v>6661758.2000000002</v>
      </c>
      <c r="N63" s="21"/>
      <c r="O63" s="33"/>
      <c r="T63" s="22">
        <f>[1]NSE!T59</f>
        <v>0</v>
      </c>
    </row>
    <row r="64" spans="1:20">
      <c r="A64" s="16" t="s">
        <v>80</v>
      </c>
      <c r="B64" s="16">
        <v>14.9</v>
      </c>
      <c r="C64" s="16">
        <v>14.9</v>
      </c>
      <c r="D64" s="16">
        <v>0</v>
      </c>
      <c r="E64" s="16">
        <v>0</v>
      </c>
      <c r="F64" s="16">
        <v>14.9</v>
      </c>
      <c r="G64" s="16">
        <v>0</v>
      </c>
      <c r="H64" s="17">
        <v>0</v>
      </c>
      <c r="I64" s="18">
        <v>104</v>
      </c>
      <c r="J64" s="19">
        <v>221719</v>
      </c>
      <c r="K64" s="19">
        <v>3092047.7</v>
      </c>
      <c r="N64" s="21"/>
      <c r="O64" s="33"/>
      <c r="T64" s="22">
        <f>[1]NSE!T60</f>
        <v>0</v>
      </c>
    </row>
    <row r="65" spans="1:20">
      <c r="A65" s="16" t="s">
        <v>81</v>
      </c>
      <c r="B65" s="16">
        <v>2.0499999999999998</v>
      </c>
      <c r="C65" s="16">
        <v>2.0499999999999998</v>
      </c>
      <c r="D65" s="16">
        <v>2.1</v>
      </c>
      <c r="E65" s="16">
        <v>2.0099999999999998</v>
      </c>
      <c r="F65" s="16">
        <v>2.02</v>
      </c>
      <c r="G65" s="16">
        <v>-2.9999999999999805E-2</v>
      </c>
      <c r="H65" s="17">
        <v>-1.4634146341463317E-2</v>
      </c>
      <c r="I65" s="18">
        <v>128</v>
      </c>
      <c r="J65" s="19">
        <v>13959128</v>
      </c>
      <c r="K65" s="19">
        <v>28525008.550000001</v>
      </c>
      <c r="N65" s="21"/>
      <c r="O65" s="33"/>
      <c r="T65" s="22">
        <f>[1]NSE!T61</f>
        <v>0</v>
      </c>
    </row>
    <row r="66" spans="1:20">
      <c r="A66" s="16" t="s">
        <v>43</v>
      </c>
      <c r="B66" s="16">
        <v>11.5</v>
      </c>
      <c r="C66" s="16">
        <v>11.5</v>
      </c>
      <c r="D66" s="16">
        <v>10.5</v>
      </c>
      <c r="E66" s="16">
        <v>10.5</v>
      </c>
      <c r="F66" s="16">
        <v>10.5</v>
      </c>
      <c r="G66" s="16">
        <v>-1</v>
      </c>
      <c r="H66" s="17">
        <v>-8.6956521739130488E-2</v>
      </c>
      <c r="I66" s="18">
        <v>104</v>
      </c>
      <c r="J66" s="19">
        <v>863677</v>
      </c>
      <c r="K66" s="19">
        <v>9082626.5</v>
      </c>
      <c r="N66" s="21"/>
      <c r="O66" s="33"/>
      <c r="T66" s="22">
        <f>[1]NSE!T62</f>
        <v>0</v>
      </c>
    </row>
    <row r="67" spans="1:20">
      <c r="A67" s="16" t="s">
        <v>82</v>
      </c>
      <c r="B67" s="16">
        <v>6.1</v>
      </c>
      <c r="C67" s="16">
        <v>6.1</v>
      </c>
      <c r="D67" s="16">
        <v>0</v>
      </c>
      <c r="E67" s="16">
        <v>0</v>
      </c>
      <c r="F67" s="16">
        <v>6.1</v>
      </c>
      <c r="G67" s="16">
        <v>0</v>
      </c>
      <c r="H67" s="17">
        <v>0</v>
      </c>
      <c r="I67" s="18">
        <v>59</v>
      </c>
      <c r="J67" s="19">
        <v>545087</v>
      </c>
      <c r="K67" s="19">
        <v>3152897.25</v>
      </c>
      <c r="N67" s="21"/>
      <c r="O67" s="33"/>
      <c r="T67" s="22">
        <f>[1]NSE!T63</f>
        <v>0</v>
      </c>
    </row>
    <row r="68" spans="1:20">
      <c r="A68" s="16" t="s">
        <v>26</v>
      </c>
      <c r="B68" s="16">
        <v>1.71</v>
      </c>
      <c r="C68" s="16">
        <v>1.71</v>
      </c>
      <c r="D68" s="16">
        <v>1.88</v>
      </c>
      <c r="E68" s="16">
        <v>1.72</v>
      </c>
      <c r="F68" s="16">
        <v>1.85</v>
      </c>
      <c r="G68" s="16">
        <v>0.14000000000000012</v>
      </c>
      <c r="H68" s="17">
        <v>8.1871345029239873E-2</v>
      </c>
      <c r="I68" s="18">
        <v>182</v>
      </c>
      <c r="J68" s="19">
        <v>9754627</v>
      </c>
      <c r="K68" s="19">
        <v>17611293.600000001</v>
      </c>
      <c r="N68" s="21"/>
      <c r="O68" s="33"/>
      <c r="T68" s="22">
        <f>[1]NSE!T64</f>
        <v>0</v>
      </c>
    </row>
    <row r="69" spans="1:20">
      <c r="A69" s="16" t="s">
        <v>83</v>
      </c>
      <c r="B69" s="16">
        <v>8.9</v>
      </c>
      <c r="C69" s="16">
        <v>8.9</v>
      </c>
      <c r="D69" s="16">
        <v>0</v>
      </c>
      <c r="E69" s="16">
        <v>0</v>
      </c>
      <c r="F69" s="16">
        <v>8.9</v>
      </c>
      <c r="G69" s="16">
        <v>0</v>
      </c>
      <c r="H69" s="17">
        <v>0</v>
      </c>
      <c r="I69" s="18">
        <v>284</v>
      </c>
      <c r="J69" s="19">
        <v>829963</v>
      </c>
      <c r="K69" s="19">
        <v>7373753.5</v>
      </c>
      <c r="N69" s="21"/>
      <c r="O69" s="33"/>
      <c r="T69" s="22">
        <f>[1]NSE!T65</f>
        <v>0</v>
      </c>
    </row>
    <row r="70" spans="1:20">
      <c r="A70" s="16" t="s">
        <v>84</v>
      </c>
      <c r="B70" s="16">
        <v>3.96</v>
      </c>
      <c r="C70" s="16">
        <v>3.96</v>
      </c>
      <c r="D70" s="16">
        <v>3.96</v>
      </c>
      <c r="E70" s="16">
        <v>3.95</v>
      </c>
      <c r="F70" s="16">
        <v>3.95</v>
      </c>
      <c r="G70" s="16">
        <v>-9.9999999999997868E-3</v>
      </c>
      <c r="H70" s="17">
        <v>-2.525252525252486E-3</v>
      </c>
      <c r="I70" s="18">
        <v>49</v>
      </c>
      <c r="J70" s="19">
        <v>921585</v>
      </c>
      <c r="K70" s="19">
        <v>3670471.98</v>
      </c>
      <c r="N70" s="21"/>
      <c r="O70" s="33"/>
      <c r="T70" s="22">
        <f>[1]NSE!T66</f>
        <v>0</v>
      </c>
    </row>
    <row r="71" spans="1:20">
      <c r="A71" s="16" t="s">
        <v>85</v>
      </c>
      <c r="B71" s="16">
        <v>13.5</v>
      </c>
      <c r="C71" s="16">
        <v>13.5</v>
      </c>
      <c r="D71" s="16">
        <v>0</v>
      </c>
      <c r="E71" s="16">
        <v>0</v>
      </c>
      <c r="F71" s="16">
        <v>13.5</v>
      </c>
      <c r="G71" s="16">
        <v>0</v>
      </c>
      <c r="H71" s="17">
        <v>0</v>
      </c>
      <c r="I71" s="18">
        <v>113</v>
      </c>
      <c r="J71" s="19">
        <v>385390</v>
      </c>
      <c r="K71" s="19">
        <v>5338687.25</v>
      </c>
      <c r="N71" s="21"/>
      <c r="O71" s="33"/>
      <c r="T71" s="22">
        <f>[1]NSE!T67</f>
        <v>0</v>
      </c>
    </row>
    <row r="72" spans="1:20">
      <c r="A72" s="16" t="s">
        <v>86</v>
      </c>
      <c r="B72" s="16">
        <v>47</v>
      </c>
      <c r="C72" s="16">
        <v>47</v>
      </c>
      <c r="D72" s="16">
        <v>0</v>
      </c>
      <c r="E72" s="16">
        <v>0</v>
      </c>
      <c r="F72" s="16">
        <v>47</v>
      </c>
      <c r="G72" s="16">
        <v>0</v>
      </c>
      <c r="H72" s="17">
        <v>0</v>
      </c>
      <c r="I72" s="18">
        <v>701</v>
      </c>
      <c r="J72" s="19">
        <v>1069736</v>
      </c>
      <c r="K72" s="19">
        <v>47871911.950000003</v>
      </c>
      <c r="L72" s="22"/>
      <c r="N72" s="21"/>
      <c r="O72" s="33"/>
      <c r="T72" s="22">
        <f>[1]NSE!T68</f>
        <v>0</v>
      </c>
    </row>
    <row r="73" spans="1:20">
      <c r="A73" s="16" t="s">
        <v>87</v>
      </c>
      <c r="B73" s="16">
        <v>4.3</v>
      </c>
      <c r="C73" s="16">
        <v>4.3</v>
      </c>
      <c r="D73" s="16">
        <v>4.25</v>
      </c>
      <c r="E73" s="16">
        <v>4.12</v>
      </c>
      <c r="F73" s="16">
        <v>4.12</v>
      </c>
      <c r="G73" s="16">
        <v>-0.17999999999999972</v>
      </c>
      <c r="H73" s="17">
        <v>-4.1860465116279055E-2</v>
      </c>
      <c r="I73" s="18">
        <v>309</v>
      </c>
      <c r="J73" s="19">
        <v>6493401</v>
      </c>
      <c r="K73" s="19">
        <v>27237925.41</v>
      </c>
      <c r="N73" s="21"/>
      <c r="O73" s="33"/>
      <c r="T73" s="22">
        <f>[1]NSE!T69</f>
        <v>0</v>
      </c>
    </row>
    <row r="74" spans="1:20">
      <c r="A74" s="16" t="s">
        <v>88</v>
      </c>
      <c r="B74" s="16">
        <v>94.9</v>
      </c>
      <c r="C74" s="16">
        <v>94.9</v>
      </c>
      <c r="D74" s="16">
        <v>0</v>
      </c>
      <c r="E74" s="16">
        <v>0</v>
      </c>
      <c r="F74" s="16">
        <v>94.9</v>
      </c>
      <c r="G74" s="16">
        <v>0</v>
      </c>
      <c r="H74" s="17">
        <v>0</v>
      </c>
      <c r="I74" s="18">
        <v>78</v>
      </c>
      <c r="J74" s="19">
        <v>48388</v>
      </c>
      <c r="K74" s="19">
        <v>4134754.6</v>
      </c>
      <c r="N74" s="21"/>
      <c r="O74" s="33"/>
      <c r="T74" s="22">
        <f>[1]NSE!T70</f>
        <v>0</v>
      </c>
    </row>
    <row r="75" spans="1:20">
      <c r="A75" s="16" t="s">
        <v>89</v>
      </c>
      <c r="B75" s="16">
        <v>20.6</v>
      </c>
      <c r="C75" s="16">
        <v>20.6</v>
      </c>
      <c r="D75" s="16">
        <v>0</v>
      </c>
      <c r="E75" s="16">
        <v>0</v>
      </c>
      <c r="F75" s="16">
        <v>20.6</v>
      </c>
      <c r="G75" s="16">
        <v>0</v>
      </c>
      <c r="H75" s="17">
        <v>0</v>
      </c>
      <c r="I75" s="18">
        <v>53</v>
      </c>
      <c r="J75" s="19">
        <v>74549</v>
      </c>
      <c r="K75" s="19">
        <v>1393455.65</v>
      </c>
      <c r="N75" s="21"/>
      <c r="O75" s="33"/>
      <c r="T75" s="22">
        <f>[1]NSE!T71</f>
        <v>0</v>
      </c>
    </row>
    <row r="76" spans="1:20">
      <c r="A76" s="16" t="s">
        <v>90</v>
      </c>
      <c r="B76" s="16">
        <v>10.6</v>
      </c>
      <c r="C76" s="16">
        <v>10.6</v>
      </c>
      <c r="D76" s="16">
        <v>0</v>
      </c>
      <c r="E76" s="16">
        <v>0</v>
      </c>
      <c r="F76" s="16">
        <v>10.6</v>
      </c>
      <c r="G76" s="16">
        <v>0</v>
      </c>
      <c r="H76" s="17">
        <v>0</v>
      </c>
      <c r="I76" s="18">
        <v>8</v>
      </c>
      <c r="J76" s="19">
        <v>66460</v>
      </c>
      <c r="K76" s="19">
        <v>675739.5</v>
      </c>
      <c r="N76" s="21"/>
      <c r="O76" s="33"/>
      <c r="T76" s="22">
        <f>[1]NSE!T72</f>
        <v>0</v>
      </c>
    </row>
    <row r="77" spans="1:20">
      <c r="A77" s="16" t="s">
        <v>91</v>
      </c>
      <c r="B77" s="16">
        <v>775</v>
      </c>
      <c r="C77" s="16">
        <v>775</v>
      </c>
      <c r="D77" s="16">
        <v>802</v>
      </c>
      <c r="E77" s="16">
        <v>790</v>
      </c>
      <c r="F77" s="16">
        <v>790</v>
      </c>
      <c r="G77" s="16">
        <v>15</v>
      </c>
      <c r="H77" s="17">
        <v>1.9354838709677358E-2</v>
      </c>
      <c r="I77" s="18">
        <v>6671</v>
      </c>
      <c r="J77" s="19">
        <v>5793161</v>
      </c>
      <c r="K77" s="19">
        <v>4638889631.8999996</v>
      </c>
      <c r="L77" s="34"/>
      <c r="N77" s="21"/>
      <c r="O77" s="33"/>
      <c r="T77" s="22">
        <f>[1]NSE!T73</f>
        <v>0</v>
      </c>
    </row>
    <row r="78" spans="1:20">
      <c r="A78" s="16" t="s">
        <v>92</v>
      </c>
      <c r="B78" s="16">
        <v>25.5</v>
      </c>
      <c r="C78" s="16">
        <v>25.5</v>
      </c>
      <c r="D78" s="16">
        <v>0</v>
      </c>
      <c r="E78" s="16">
        <v>0</v>
      </c>
      <c r="F78" s="16">
        <v>25.5</v>
      </c>
      <c r="G78" s="16">
        <v>0</v>
      </c>
      <c r="H78" s="17">
        <v>0</v>
      </c>
      <c r="I78" s="18">
        <v>44</v>
      </c>
      <c r="J78" s="19">
        <v>56557</v>
      </c>
      <c r="K78" s="19">
        <v>1300094.2</v>
      </c>
      <c r="N78" s="21"/>
      <c r="O78" s="33"/>
      <c r="T78" s="22">
        <f>[1]NSE!T74</f>
        <v>0</v>
      </c>
    </row>
    <row r="79" spans="1:20">
      <c r="A79" s="16" t="s">
        <v>93</v>
      </c>
      <c r="B79" s="16">
        <v>189.5</v>
      </c>
      <c r="C79" s="16">
        <v>189.5</v>
      </c>
      <c r="D79" s="16">
        <v>0</v>
      </c>
      <c r="E79" s="16">
        <v>0</v>
      </c>
      <c r="F79" s="16">
        <v>189.5</v>
      </c>
      <c r="G79" s="16">
        <v>0</v>
      </c>
      <c r="H79" s="17">
        <v>0</v>
      </c>
      <c r="I79" s="18">
        <v>554</v>
      </c>
      <c r="J79" s="19">
        <v>525295</v>
      </c>
      <c r="K79" s="19">
        <v>90100050.200000003</v>
      </c>
      <c r="N79" s="21"/>
      <c r="O79" s="33"/>
      <c r="T79" s="22">
        <f>[1]NSE!T75</f>
        <v>0</v>
      </c>
    </row>
    <row r="80" spans="1:20">
      <c r="A80" s="16" t="s">
        <v>94</v>
      </c>
      <c r="B80" s="16">
        <v>219.5</v>
      </c>
      <c r="C80" s="16">
        <v>219.5</v>
      </c>
      <c r="D80" s="16">
        <v>0</v>
      </c>
      <c r="E80" s="16">
        <v>0</v>
      </c>
      <c r="F80" s="16">
        <v>219.5</v>
      </c>
      <c r="G80" s="16">
        <v>0</v>
      </c>
      <c r="H80" s="17">
        <v>0</v>
      </c>
      <c r="I80" s="18">
        <v>478</v>
      </c>
      <c r="J80" s="19">
        <v>2820776</v>
      </c>
      <c r="K80" s="19">
        <v>557813001.29999995</v>
      </c>
      <c r="N80" s="21"/>
      <c r="O80" s="33"/>
      <c r="T80" s="22">
        <f>[1]NSE!T76</f>
        <v>0</v>
      </c>
    </row>
    <row r="81" spans="1:20">
      <c r="A81" s="16" t="s">
        <v>95</v>
      </c>
      <c r="B81" s="16">
        <v>80</v>
      </c>
      <c r="C81" s="16">
        <v>80</v>
      </c>
      <c r="D81" s="16">
        <v>81</v>
      </c>
      <c r="E81" s="16">
        <v>80</v>
      </c>
      <c r="F81" s="16">
        <v>81</v>
      </c>
      <c r="G81" s="16">
        <v>1</v>
      </c>
      <c r="H81" s="17">
        <v>1.2499999999999956E-2</v>
      </c>
      <c r="I81" s="18">
        <v>456</v>
      </c>
      <c r="J81" s="19">
        <v>1451952</v>
      </c>
      <c r="K81" s="19">
        <v>117158718.3</v>
      </c>
      <c r="N81" s="21"/>
      <c r="O81" s="33"/>
      <c r="T81" s="22">
        <f>[1]NSE!T77</f>
        <v>0</v>
      </c>
    </row>
    <row r="82" spans="1:20">
      <c r="A82" s="16" t="s">
        <v>96</v>
      </c>
      <c r="B82" s="16">
        <v>161.19999999999999</v>
      </c>
      <c r="C82" s="16">
        <v>161.19999999999999</v>
      </c>
      <c r="D82" s="16">
        <v>0</v>
      </c>
      <c r="E82" s="16">
        <v>0</v>
      </c>
      <c r="F82" s="16">
        <v>161.19999999999999</v>
      </c>
      <c r="G82" s="16">
        <v>0</v>
      </c>
      <c r="H82" s="17">
        <v>0</v>
      </c>
      <c r="I82" s="18">
        <v>50</v>
      </c>
      <c r="J82" s="19">
        <v>44469</v>
      </c>
      <c r="K82" s="19">
        <v>6610507.7999999998</v>
      </c>
      <c r="N82" s="21"/>
      <c r="O82" s="33"/>
      <c r="T82" s="22">
        <f>[1]NSE!T78</f>
        <v>0</v>
      </c>
    </row>
    <row r="83" spans="1:20">
      <c r="A83" s="16" t="s">
        <v>97</v>
      </c>
      <c r="B83" s="16">
        <v>10.6</v>
      </c>
      <c r="C83" s="16">
        <v>10.6</v>
      </c>
      <c r="D83" s="16">
        <v>10.1</v>
      </c>
      <c r="E83" s="16">
        <v>10.050000000000001</v>
      </c>
      <c r="F83" s="16">
        <v>10.1</v>
      </c>
      <c r="G83" s="16">
        <v>-0.5</v>
      </c>
      <c r="H83" s="17">
        <v>-4.7169811320754707E-2</v>
      </c>
      <c r="I83" s="18">
        <v>282</v>
      </c>
      <c r="J83" s="19">
        <v>2241933</v>
      </c>
      <c r="K83" s="19">
        <v>23007685.949999999</v>
      </c>
      <c r="N83" s="21"/>
      <c r="O83" s="33"/>
      <c r="T83" s="22">
        <f>[1]NSE!T79</f>
        <v>0</v>
      </c>
    </row>
    <row r="84" spans="1:20">
      <c r="A84" s="16" t="s">
        <v>98</v>
      </c>
      <c r="B84" s="16">
        <v>30</v>
      </c>
      <c r="C84" s="16">
        <v>30</v>
      </c>
      <c r="D84" s="16">
        <v>30</v>
      </c>
      <c r="E84" s="16">
        <v>29.9</v>
      </c>
      <c r="F84" s="16">
        <v>29.9</v>
      </c>
      <c r="G84" s="16">
        <v>-0.10000000000000142</v>
      </c>
      <c r="H84" s="17">
        <v>-3.3333333333334103E-3</v>
      </c>
      <c r="I84" s="18">
        <v>267</v>
      </c>
      <c r="J84" s="19">
        <v>1454762</v>
      </c>
      <c r="K84" s="19">
        <v>44230599.149999999</v>
      </c>
      <c r="N84" s="21"/>
      <c r="O84" s="33"/>
      <c r="T84" s="22">
        <f>[1]NSE!T80</f>
        <v>0</v>
      </c>
    </row>
    <row r="85" spans="1:20">
      <c r="A85" s="16" t="s">
        <v>99</v>
      </c>
      <c r="B85" s="16">
        <v>3125</v>
      </c>
      <c r="C85" s="16">
        <v>3125</v>
      </c>
      <c r="D85" s="16">
        <v>0</v>
      </c>
      <c r="E85" s="16">
        <v>0</v>
      </c>
      <c r="F85" s="16">
        <v>3125</v>
      </c>
      <c r="G85" s="16">
        <v>0</v>
      </c>
      <c r="H85" s="17">
        <v>0</v>
      </c>
      <c r="I85" s="18">
        <v>258</v>
      </c>
      <c r="J85" s="19">
        <v>29161</v>
      </c>
      <c r="K85" s="19">
        <v>84665831</v>
      </c>
      <c r="N85" s="21"/>
      <c r="O85" s="33"/>
      <c r="T85" s="22">
        <f>[1]NSE!T81</f>
        <v>0</v>
      </c>
    </row>
    <row r="86" spans="1:20">
      <c r="A86" s="16" t="s">
        <v>100</v>
      </c>
      <c r="B86" s="16">
        <v>137.1</v>
      </c>
      <c r="C86" s="16">
        <v>137.1</v>
      </c>
      <c r="D86" s="16">
        <v>0</v>
      </c>
      <c r="E86" s="16">
        <v>0</v>
      </c>
      <c r="F86" s="16">
        <v>137.1</v>
      </c>
      <c r="G86" s="16">
        <v>0</v>
      </c>
      <c r="H86" s="17">
        <v>0</v>
      </c>
      <c r="I86" s="18">
        <v>1198</v>
      </c>
      <c r="J86" s="19">
        <v>1428556</v>
      </c>
      <c r="K86" s="19">
        <v>196778987.44999999</v>
      </c>
      <c r="N86" s="21"/>
      <c r="O86" s="33"/>
      <c r="T86" s="22">
        <f>[1]NSE!T82</f>
        <v>0</v>
      </c>
    </row>
    <row r="87" spans="1:20">
      <c r="A87" s="16" t="s">
        <v>101</v>
      </c>
      <c r="B87" s="16">
        <v>129</v>
      </c>
      <c r="C87" s="16">
        <v>129</v>
      </c>
      <c r="D87" s="16">
        <v>0</v>
      </c>
      <c r="E87" s="16">
        <v>0</v>
      </c>
      <c r="F87" s="16">
        <v>129</v>
      </c>
      <c r="G87" s="16">
        <v>0</v>
      </c>
      <c r="H87" s="17">
        <v>0</v>
      </c>
      <c r="I87" s="18">
        <v>38</v>
      </c>
      <c r="J87" s="19">
        <v>49681</v>
      </c>
      <c r="K87" s="19">
        <v>7049733.9000000004</v>
      </c>
      <c r="N87" s="21"/>
      <c r="O87" s="33"/>
      <c r="T87" s="22">
        <f>[1]NSE!T83</f>
        <v>0</v>
      </c>
    </row>
    <row r="88" spans="1:20">
      <c r="A88" s="16" t="s">
        <v>102</v>
      </c>
      <c r="B88" s="16">
        <v>79.400000000000006</v>
      </c>
      <c r="C88" s="16">
        <v>79.400000000000006</v>
      </c>
      <c r="D88" s="16">
        <v>0</v>
      </c>
      <c r="E88" s="16">
        <v>0</v>
      </c>
      <c r="F88" s="16">
        <v>79.400000000000006</v>
      </c>
      <c r="G88" s="16">
        <v>0</v>
      </c>
      <c r="H88" s="17">
        <v>0</v>
      </c>
      <c r="I88" s="18">
        <v>17</v>
      </c>
      <c r="J88" s="19">
        <v>6627</v>
      </c>
      <c r="K88" s="19">
        <v>473830.5</v>
      </c>
      <c r="N88" s="21"/>
      <c r="O88" s="33"/>
      <c r="T88" s="22">
        <f>[1]NSE!T84</f>
        <v>0</v>
      </c>
    </row>
    <row r="89" spans="1:20">
      <c r="A89" s="16" t="s">
        <v>49</v>
      </c>
      <c r="B89" s="16">
        <v>5.45</v>
      </c>
      <c r="C89" s="16">
        <v>5.45</v>
      </c>
      <c r="D89" s="16">
        <v>5.45</v>
      </c>
      <c r="E89" s="16">
        <v>5.0999999999999996</v>
      </c>
      <c r="F89" s="16">
        <v>5.0999999999999996</v>
      </c>
      <c r="G89" s="16">
        <v>-0.35000000000000053</v>
      </c>
      <c r="H89" s="17">
        <v>-6.4220183486238591E-2</v>
      </c>
      <c r="I89" s="18">
        <v>164</v>
      </c>
      <c r="J89" s="19">
        <v>1965241</v>
      </c>
      <c r="K89" s="19">
        <v>10513527.4</v>
      </c>
      <c r="N89" s="21"/>
      <c r="O89" s="33"/>
      <c r="T89" s="22">
        <f>[1]NSE!T85</f>
        <v>0</v>
      </c>
    </row>
    <row r="90" spans="1:20">
      <c r="A90" s="16" t="s">
        <v>103</v>
      </c>
      <c r="B90" s="16">
        <v>103</v>
      </c>
      <c r="C90" s="16">
        <v>103</v>
      </c>
      <c r="D90" s="16">
        <v>0</v>
      </c>
      <c r="E90" s="16">
        <v>0</v>
      </c>
      <c r="F90" s="16">
        <v>103</v>
      </c>
      <c r="G90" s="16">
        <v>0</v>
      </c>
      <c r="H90" s="17">
        <v>0</v>
      </c>
      <c r="I90" s="18">
        <v>48</v>
      </c>
      <c r="J90" s="19">
        <v>35213</v>
      </c>
      <c r="K90" s="19">
        <v>3477028.3</v>
      </c>
      <c r="N90" s="21"/>
      <c r="O90" s="33"/>
      <c r="T90" s="22">
        <f>[1]NSE!T86</f>
        <v>0</v>
      </c>
    </row>
    <row r="91" spans="1:20">
      <c r="A91" s="16" t="s">
        <v>104</v>
      </c>
      <c r="B91" s="16">
        <v>0.88</v>
      </c>
      <c r="C91" s="16">
        <v>0.88</v>
      </c>
      <c r="D91" s="16">
        <v>0.89</v>
      </c>
      <c r="E91" s="16">
        <v>0.85</v>
      </c>
      <c r="F91" s="16">
        <v>0.88</v>
      </c>
      <c r="G91" s="16">
        <v>0</v>
      </c>
      <c r="H91" s="17">
        <v>0</v>
      </c>
      <c r="I91" s="18">
        <v>305</v>
      </c>
      <c r="J91" s="19">
        <v>11803987</v>
      </c>
      <c r="K91" s="19">
        <v>10245826.68</v>
      </c>
      <c r="N91" s="21"/>
      <c r="O91" s="33"/>
      <c r="T91" s="22">
        <f>[1]NSE!T87</f>
        <v>0</v>
      </c>
    </row>
    <row r="92" spans="1:20">
      <c r="A92" s="16" t="s">
        <v>28</v>
      </c>
      <c r="B92" s="16">
        <v>48</v>
      </c>
      <c r="C92" s="16">
        <v>48</v>
      </c>
      <c r="D92" s="16">
        <v>51.8</v>
      </c>
      <c r="E92" s="16">
        <v>48.5</v>
      </c>
      <c r="F92" s="16">
        <v>51.8</v>
      </c>
      <c r="G92" s="16">
        <v>3.7999999999999972</v>
      </c>
      <c r="H92" s="17">
        <v>7.9166666666666607E-2</v>
      </c>
      <c r="I92" s="18">
        <v>782</v>
      </c>
      <c r="J92" s="19">
        <v>3022041</v>
      </c>
      <c r="K92" s="19">
        <v>150018930.25</v>
      </c>
      <c r="N92" s="21"/>
      <c r="O92" s="33"/>
      <c r="T92" s="22">
        <f>[1]NSE!T88</f>
        <v>0</v>
      </c>
    </row>
    <row r="93" spans="1:20">
      <c r="A93" s="16" t="s">
        <v>105</v>
      </c>
      <c r="B93" s="16">
        <v>1750</v>
      </c>
      <c r="C93" s="16">
        <v>1750</v>
      </c>
      <c r="D93" s="16">
        <v>0</v>
      </c>
      <c r="E93" s="16">
        <v>0</v>
      </c>
      <c r="F93" s="16">
        <v>1750</v>
      </c>
      <c r="G93" s="16">
        <v>0</v>
      </c>
      <c r="H93" s="17">
        <v>0</v>
      </c>
      <c r="I93" s="18">
        <v>811</v>
      </c>
      <c r="J93" s="19">
        <v>293526</v>
      </c>
      <c r="K93" s="19">
        <v>465867223.19999999</v>
      </c>
      <c r="N93" s="21"/>
      <c r="O93" s="33"/>
      <c r="T93" s="22">
        <f>[1]NSE!T89</f>
        <v>0</v>
      </c>
    </row>
    <row r="94" spans="1:20">
      <c r="A94" s="16" t="s">
        <v>106</v>
      </c>
      <c r="B94" s="16">
        <v>2.08</v>
      </c>
      <c r="C94" s="16">
        <v>2.08</v>
      </c>
      <c r="D94" s="16">
        <v>2.2599999999999998</v>
      </c>
      <c r="E94" s="16">
        <v>2.08</v>
      </c>
      <c r="F94" s="16">
        <v>2.15</v>
      </c>
      <c r="G94" s="16">
        <v>6.999999999999984E-2</v>
      </c>
      <c r="H94" s="17">
        <v>3.3653846153846034E-2</v>
      </c>
      <c r="I94" s="18">
        <v>297</v>
      </c>
      <c r="J94" s="19">
        <v>6845171</v>
      </c>
      <c r="K94" s="19">
        <v>14668613.119999999</v>
      </c>
      <c r="N94" s="21"/>
      <c r="O94" s="33"/>
      <c r="T94" s="22">
        <f>[1]NSE!T90</f>
        <v>0</v>
      </c>
    </row>
    <row r="95" spans="1:20" ht="15" customHeight="1">
      <c r="A95" s="16" t="s">
        <v>107</v>
      </c>
      <c r="B95" s="16">
        <v>33.75</v>
      </c>
      <c r="C95" s="16">
        <v>33.75</v>
      </c>
      <c r="D95" s="16">
        <v>0</v>
      </c>
      <c r="E95" s="16">
        <v>0</v>
      </c>
      <c r="F95" s="16">
        <v>33.75</v>
      </c>
      <c r="G95" s="16">
        <v>0</v>
      </c>
      <c r="H95" s="17">
        <v>0</v>
      </c>
      <c r="I95" s="18">
        <v>26</v>
      </c>
      <c r="J95" s="19">
        <v>61037441</v>
      </c>
      <c r="K95" s="19">
        <v>135263148.09999999</v>
      </c>
      <c r="N95" s="21"/>
      <c r="O95" s="33"/>
      <c r="T95" s="22">
        <f>[1]NSE!T91</f>
        <v>0</v>
      </c>
    </row>
    <row r="96" spans="1:20">
      <c r="A96" s="16" t="s">
        <v>108</v>
      </c>
      <c r="B96" s="16">
        <v>2300</v>
      </c>
      <c r="C96" s="16">
        <v>2300</v>
      </c>
      <c r="D96" s="16">
        <v>0</v>
      </c>
      <c r="E96" s="16">
        <v>0</v>
      </c>
      <c r="F96" s="16">
        <v>2300</v>
      </c>
      <c r="G96" s="16">
        <v>0</v>
      </c>
      <c r="H96" s="17">
        <v>0</v>
      </c>
      <c r="I96" s="18">
        <v>740</v>
      </c>
      <c r="J96" s="19">
        <v>844365</v>
      </c>
      <c r="K96" s="19">
        <v>1754778981</v>
      </c>
      <c r="N96" s="21"/>
      <c r="O96" s="33"/>
      <c r="T96" s="22">
        <f>[1]NSE!T92</f>
        <v>0</v>
      </c>
    </row>
    <row r="97" spans="1:20">
      <c r="A97" s="16" t="s">
        <v>109</v>
      </c>
      <c r="B97" s="16">
        <v>1.48</v>
      </c>
      <c r="C97" s="16">
        <v>1.48</v>
      </c>
      <c r="D97" s="16">
        <v>1.5</v>
      </c>
      <c r="E97" s="16">
        <v>1.41</v>
      </c>
      <c r="F97" s="16">
        <v>1.5</v>
      </c>
      <c r="G97" s="16">
        <v>2.0000000000000018E-2</v>
      </c>
      <c r="H97" s="17">
        <v>1.3513513513513598E-2</v>
      </c>
      <c r="I97" s="18">
        <v>54</v>
      </c>
      <c r="J97" s="19">
        <v>835347</v>
      </c>
      <c r="K97" s="19">
        <v>1239529.8600000001</v>
      </c>
      <c r="N97" s="21"/>
      <c r="O97" s="33"/>
      <c r="T97" s="22">
        <f>[1]NSE!T93</f>
        <v>0</v>
      </c>
    </row>
    <row r="98" spans="1:20">
      <c r="A98" s="16" t="s">
        <v>110</v>
      </c>
      <c r="B98" s="16">
        <v>94.95</v>
      </c>
      <c r="C98" s="16">
        <v>94.95</v>
      </c>
      <c r="D98" s="16">
        <v>0</v>
      </c>
      <c r="E98" s="16">
        <v>0</v>
      </c>
      <c r="F98" s="16">
        <v>94.95</v>
      </c>
      <c r="G98" s="16">
        <v>0</v>
      </c>
      <c r="H98" s="17">
        <v>0</v>
      </c>
      <c r="I98" s="18">
        <v>460</v>
      </c>
      <c r="J98" s="19">
        <v>911059</v>
      </c>
      <c r="K98" s="19">
        <v>83262704.650000006</v>
      </c>
      <c r="N98" s="21"/>
      <c r="O98" s="33"/>
      <c r="T98" s="22">
        <f>[1]NSE!T94</f>
        <v>0</v>
      </c>
    </row>
    <row r="99" spans="1:20">
      <c r="A99" s="16" t="s">
        <v>111</v>
      </c>
      <c r="B99" s="16">
        <v>30.65</v>
      </c>
      <c r="C99" s="16">
        <v>30.65</v>
      </c>
      <c r="D99" s="16">
        <v>0</v>
      </c>
      <c r="E99" s="16">
        <v>0</v>
      </c>
      <c r="F99" s="16">
        <v>30.65</v>
      </c>
      <c r="G99" s="16">
        <v>0</v>
      </c>
      <c r="H99" s="17">
        <v>0</v>
      </c>
      <c r="I99" s="18">
        <v>30</v>
      </c>
      <c r="J99" s="19">
        <v>61986</v>
      </c>
      <c r="K99" s="19">
        <v>1710938.6</v>
      </c>
      <c r="N99" s="21"/>
      <c r="O99" s="33"/>
      <c r="T99" s="22">
        <f>[1]NSE!T95</f>
        <v>0</v>
      </c>
    </row>
    <row r="100" spans="1:20">
      <c r="A100" s="16" t="s">
        <v>112</v>
      </c>
      <c r="B100" s="16">
        <v>1.01</v>
      </c>
      <c r="C100" s="16">
        <v>1.01</v>
      </c>
      <c r="D100" s="16">
        <v>1.0900000000000001</v>
      </c>
      <c r="E100" s="16">
        <v>1</v>
      </c>
      <c r="F100" s="16">
        <v>1</v>
      </c>
      <c r="G100" s="16">
        <v>-1.0000000000000009E-2</v>
      </c>
      <c r="H100" s="17">
        <v>-9.9009900990099098E-3</v>
      </c>
      <c r="I100" s="18">
        <v>245</v>
      </c>
      <c r="J100" s="19">
        <v>11918162</v>
      </c>
      <c r="K100" s="19">
        <v>12046158.59</v>
      </c>
      <c r="N100" s="21"/>
      <c r="O100" s="33"/>
      <c r="T100" s="22">
        <f>[1]NSE!T96</f>
        <v>0</v>
      </c>
    </row>
    <row r="101" spans="1:20">
      <c r="A101" s="16" t="s">
        <v>113</v>
      </c>
      <c r="B101" s="16">
        <v>1.55</v>
      </c>
      <c r="C101" s="16">
        <v>1.55</v>
      </c>
      <c r="D101" s="16">
        <v>1.59</v>
      </c>
      <c r="E101" s="16">
        <v>1.52</v>
      </c>
      <c r="F101" s="16">
        <v>1.52</v>
      </c>
      <c r="G101" s="16">
        <v>-3.0000000000000027E-2</v>
      </c>
      <c r="H101" s="17">
        <v>-1.9354838709677469E-2</v>
      </c>
      <c r="I101" s="18">
        <v>127</v>
      </c>
      <c r="J101" s="19">
        <v>3390017</v>
      </c>
      <c r="K101" s="19">
        <v>5274513.18</v>
      </c>
      <c r="N101" s="21"/>
      <c r="O101" s="33"/>
      <c r="T101" s="22">
        <f>[1]NSE!T97</f>
        <v>0</v>
      </c>
    </row>
    <row r="102" spans="1:20">
      <c r="A102" s="16" t="s">
        <v>39</v>
      </c>
      <c r="B102" s="16">
        <v>14.85</v>
      </c>
      <c r="C102" s="16">
        <v>14.85</v>
      </c>
      <c r="D102" s="16">
        <v>13.45</v>
      </c>
      <c r="E102" s="16">
        <v>13.4</v>
      </c>
      <c r="F102" s="16">
        <v>13.45</v>
      </c>
      <c r="G102" s="16">
        <v>-1.4000000000000004</v>
      </c>
      <c r="H102" s="17">
        <v>-9.4276094276094291E-2</v>
      </c>
      <c r="I102" s="18">
        <v>171</v>
      </c>
      <c r="J102" s="19">
        <v>1746752</v>
      </c>
      <c r="K102" s="19">
        <v>23520987.550000001</v>
      </c>
      <c r="N102" s="21"/>
      <c r="O102" s="33"/>
      <c r="T102" s="22">
        <f>[1]NSE!T98</f>
        <v>0</v>
      </c>
    </row>
    <row r="103" spans="1:20">
      <c r="A103" s="16" t="s">
        <v>114</v>
      </c>
      <c r="B103" s="16">
        <v>33.049999999999997</v>
      </c>
      <c r="C103" s="16">
        <v>33.049999999999997</v>
      </c>
      <c r="D103" s="16">
        <v>0</v>
      </c>
      <c r="E103" s="16">
        <v>0</v>
      </c>
      <c r="F103" s="16">
        <v>33.049999999999997</v>
      </c>
      <c r="G103" s="16">
        <v>0</v>
      </c>
      <c r="H103" s="17">
        <v>0</v>
      </c>
      <c r="I103" s="18">
        <v>57</v>
      </c>
      <c r="J103" s="19">
        <v>89766</v>
      </c>
      <c r="K103" s="19">
        <v>2670538.5</v>
      </c>
      <c r="N103" s="21"/>
      <c r="O103" s="33"/>
      <c r="T103" s="22">
        <f>[1]NSE!T99</f>
        <v>0</v>
      </c>
    </row>
    <row r="104" spans="1:20">
      <c r="A104" s="16" t="s">
        <v>115</v>
      </c>
      <c r="B104" s="16">
        <v>11363.9</v>
      </c>
      <c r="C104" s="16">
        <v>11363.9</v>
      </c>
      <c r="D104" s="16">
        <v>0</v>
      </c>
      <c r="E104" s="16">
        <v>0</v>
      </c>
      <c r="F104" s="16">
        <v>11363.9</v>
      </c>
      <c r="G104" s="16">
        <v>0</v>
      </c>
      <c r="H104" s="17">
        <v>0</v>
      </c>
      <c r="I104" s="18">
        <v>745</v>
      </c>
      <c r="J104" s="19">
        <v>16361</v>
      </c>
      <c r="K104" s="19">
        <v>178497336.69999999</v>
      </c>
      <c r="N104" s="21"/>
      <c r="O104" s="33"/>
      <c r="T104" s="22">
        <f>[1]NSE!T100</f>
        <v>0</v>
      </c>
    </row>
    <row r="105" spans="1:20">
      <c r="A105" s="16" t="s">
        <v>116</v>
      </c>
      <c r="B105" s="16">
        <v>155.75</v>
      </c>
      <c r="C105" s="16">
        <v>155.75</v>
      </c>
      <c r="D105" s="16">
        <v>0</v>
      </c>
      <c r="E105" s="16">
        <v>0</v>
      </c>
      <c r="F105" s="16">
        <v>155.75</v>
      </c>
      <c r="G105" s="16">
        <v>0</v>
      </c>
      <c r="H105" s="17">
        <v>0</v>
      </c>
      <c r="I105" s="18">
        <v>21</v>
      </c>
      <c r="J105" s="19">
        <v>4001</v>
      </c>
      <c r="K105" s="19">
        <v>560940.19999999995</v>
      </c>
      <c r="N105" s="21"/>
      <c r="O105" s="33"/>
      <c r="T105" s="22">
        <f>[1]NSE!T101</f>
        <v>0</v>
      </c>
    </row>
    <row r="106" spans="1:20">
      <c r="A106" s="16" t="s">
        <v>117</v>
      </c>
      <c r="B106" s="16">
        <v>2.5</v>
      </c>
      <c r="C106" s="16">
        <v>2.5</v>
      </c>
      <c r="D106" s="16">
        <v>2.66</v>
      </c>
      <c r="E106" s="16">
        <v>2.5</v>
      </c>
      <c r="F106" s="16">
        <v>2.66</v>
      </c>
      <c r="G106" s="16">
        <v>0.16000000000000014</v>
      </c>
      <c r="H106" s="17">
        <v>6.4000000000000057E-2</v>
      </c>
      <c r="I106" s="18">
        <v>269</v>
      </c>
      <c r="J106" s="19">
        <v>7431235</v>
      </c>
      <c r="K106" s="19">
        <v>19242863.289999999</v>
      </c>
      <c r="N106" s="21"/>
      <c r="O106" s="33"/>
      <c r="T106" s="22">
        <f>[1]NSE!T102</f>
        <v>0</v>
      </c>
    </row>
    <row r="107" spans="1:20">
      <c r="A107" s="16" t="s">
        <v>118</v>
      </c>
      <c r="B107" s="16">
        <v>164.05</v>
      </c>
      <c r="C107" s="16">
        <v>164.05</v>
      </c>
      <c r="D107" s="16">
        <v>0</v>
      </c>
      <c r="E107" s="16">
        <v>0</v>
      </c>
      <c r="F107" s="16">
        <v>164.05</v>
      </c>
      <c r="G107" s="16">
        <v>0</v>
      </c>
      <c r="H107" s="17">
        <v>0</v>
      </c>
      <c r="I107" s="18">
        <v>539</v>
      </c>
      <c r="J107" s="19">
        <v>405553</v>
      </c>
      <c r="K107" s="19">
        <v>67268626.950000003</v>
      </c>
      <c r="N107" s="21"/>
      <c r="O107" s="33"/>
      <c r="T107" s="22">
        <f>[1]NSE!T103</f>
        <v>0</v>
      </c>
    </row>
    <row r="108" spans="1:20">
      <c r="A108" s="16" t="s">
        <v>119</v>
      </c>
      <c r="B108" s="16">
        <v>7.95</v>
      </c>
      <c r="C108" s="16">
        <v>7.95</v>
      </c>
      <c r="D108" s="16">
        <v>7.95</v>
      </c>
      <c r="E108" s="16">
        <v>7.65</v>
      </c>
      <c r="F108" s="16">
        <v>7.9</v>
      </c>
      <c r="G108" s="16">
        <v>-4.9999999999999822E-2</v>
      </c>
      <c r="H108" s="17">
        <v>-6.2893081761006275E-3</v>
      </c>
      <c r="I108" s="18">
        <v>439</v>
      </c>
      <c r="J108" s="19">
        <v>14480134</v>
      </c>
      <c r="K108" s="19">
        <v>112694321.15000001</v>
      </c>
      <c r="N108" s="21"/>
      <c r="O108" s="33"/>
      <c r="T108" s="22">
        <f>[1]NSE!T104</f>
        <v>0</v>
      </c>
    </row>
    <row r="109" spans="1:20">
      <c r="A109" s="16" t="s">
        <v>41</v>
      </c>
      <c r="B109" s="16">
        <v>4.4800000000000004</v>
      </c>
      <c r="C109" s="16">
        <v>4.4800000000000004</v>
      </c>
      <c r="D109" s="16">
        <v>4.1100000000000003</v>
      </c>
      <c r="E109" s="16">
        <v>4.0599999999999996</v>
      </c>
      <c r="F109" s="16">
        <v>4.0599999999999996</v>
      </c>
      <c r="G109" s="16">
        <v>-0.42000000000000082</v>
      </c>
      <c r="H109" s="17">
        <v>-9.3750000000000222E-2</v>
      </c>
      <c r="I109" s="18">
        <v>59</v>
      </c>
      <c r="J109" s="19">
        <v>2194349</v>
      </c>
      <c r="K109" s="19">
        <v>8981442.3599999994</v>
      </c>
      <c r="N109" s="21"/>
      <c r="O109" s="33"/>
      <c r="T109" s="22">
        <f>[1]NSE!T105</f>
        <v>0</v>
      </c>
    </row>
    <row r="110" spans="1:20">
      <c r="A110" s="16" t="s">
        <v>30</v>
      </c>
      <c r="B110" s="16">
        <v>4.6500000000000004</v>
      </c>
      <c r="C110" s="16">
        <v>4.6500000000000004</v>
      </c>
      <c r="D110" s="16">
        <v>5.0999999999999996</v>
      </c>
      <c r="E110" s="16">
        <v>4.6399999999999997</v>
      </c>
      <c r="F110" s="16">
        <v>5</v>
      </c>
      <c r="G110" s="16">
        <v>0.34999999999999964</v>
      </c>
      <c r="H110" s="17">
        <v>7.5268817204301008E-2</v>
      </c>
      <c r="I110" s="18">
        <v>499</v>
      </c>
      <c r="J110" s="19">
        <v>17637330</v>
      </c>
      <c r="K110" s="19">
        <v>88038450.609999999</v>
      </c>
      <c r="N110" s="21"/>
      <c r="O110" s="33"/>
      <c r="T110" s="22">
        <f>[1]NSE!T106</f>
        <v>0</v>
      </c>
    </row>
    <row r="111" spans="1:20">
      <c r="A111" s="16" t="s">
        <v>18</v>
      </c>
      <c r="B111" s="16">
        <v>29.25</v>
      </c>
      <c r="C111" s="16">
        <v>29.25</v>
      </c>
      <c r="D111" s="16">
        <v>32.15</v>
      </c>
      <c r="E111" s="16">
        <v>30</v>
      </c>
      <c r="F111" s="16">
        <v>32.15</v>
      </c>
      <c r="G111" s="16">
        <v>2.8999999999999986</v>
      </c>
      <c r="H111" s="17">
        <v>9.9145299145299015E-2</v>
      </c>
      <c r="I111" s="18">
        <v>1620</v>
      </c>
      <c r="J111" s="19">
        <v>33413827</v>
      </c>
      <c r="K111" s="19">
        <v>1047909308</v>
      </c>
      <c r="N111" s="21"/>
      <c r="O111" s="33"/>
      <c r="T111" s="22">
        <f>[1]NSE!T107</f>
        <v>0</v>
      </c>
    </row>
    <row r="112" spans="1:20">
      <c r="A112" s="16" t="s">
        <v>120</v>
      </c>
      <c r="B112" s="16">
        <v>640</v>
      </c>
      <c r="C112" s="16">
        <v>640</v>
      </c>
      <c r="D112" s="16">
        <v>0</v>
      </c>
      <c r="E112" s="16">
        <v>0</v>
      </c>
      <c r="F112" s="16">
        <v>640</v>
      </c>
      <c r="G112" s="16">
        <v>0</v>
      </c>
      <c r="H112" s="17">
        <v>0</v>
      </c>
      <c r="I112" s="18">
        <v>77</v>
      </c>
      <c r="J112" s="19">
        <v>8657</v>
      </c>
      <c r="K112" s="19">
        <v>4986432</v>
      </c>
      <c r="N112" s="21"/>
      <c r="O112" s="33"/>
      <c r="T112" s="22">
        <f>[1]NSE!T108</f>
        <v>0</v>
      </c>
    </row>
    <row r="113" spans="1:22" ht="15.75" customHeight="1">
      <c r="A113" s="16" t="s">
        <v>121</v>
      </c>
      <c r="B113" s="16">
        <v>223.3</v>
      </c>
      <c r="C113" s="16">
        <v>223.3</v>
      </c>
      <c r="D113" s="16">
        <v>0</v>
      </c>
      <c r="E113" s="16">
        <v>0</v>
      </c>
      <c r="F113" s="16">
        <v>223.3</v>
      </c>
      <c r="G113" s="16">
        <v>0</v>
      </c>
      <c r="H113" s="17">
        <v>0</v>
      </c>
      <c r="I113" s="18">
        <v>156</v>
      </c>
      <c r="J113" s="19">
        <v>67294</v>
      </c>
      <c r="K113" s="19">
        <v>15390813.800000001</v>
      </c>
      <c r="N113" s="21"/>
      <c r="O113" s="33"/>
      <c r="T113" s="22">
        <f>[1]NSE!T109</f>
        <v>0</v>
      </c>
    </row>
    <row r="114" spans="1:22" ht="15.75" customHeight="1">
      <c r="A114" s="16" t="s">
        <v>122</v>
      </c>
      <c r="B114" s="16">
        <v>45.9</v>
      </c>
      <c r="C114" s="16">
        <v>45.9</v>
      </c>
      <c r="D114" s="16">
        <v>0</v>
      </c>
      <c r="E114" s="16">
        <v>0</v>
      </c>
      <c r="F114" s="16">
        <v>45.9</v>
      </c>
      <c r="G114" s="16">
        <v>0</v>
      </c>
      <c r="H114" s="17">
        <v>0</v>
      </c>
      <c r="I114" s="18">
        <v>504</v>
      </c>
      <c r="J114" s="19">
        <v>1119302</v>
      </c>
      <c r="K114" s="19">
        <v>50315136.5</v>
      </c>
      <c r="N114" s="21"/>
      <c r="O114" s="33"/>
      <c r="T114" s="22">
        <f>[1]NSE!T110</f>
        <v>0</v>
      </c>
    </row>
    <row r="115" spans="1:22" ht="15.75" customHeight="1">
      <c r="A115" s="16" t="s">
        <v>123</v>
      </c>
      <c r="B115" s="16">
        <v>4.9000000000000004</v>
      </c>
      <c r="C115" s="16">
        <v>4.9000000000000004</v>
      </c>
      <c r="D115" s="16">
        <v>0</v>
      </c>
      <c r="E115" s="16">
        <v>0</v>
      </c>
      <c r="F115" s="16">
        <v>4.9000000000000004</v>
      </c>
      <c r="G115" s="16">
        <v>0</v>
      </c>
      <c r="H115" s="17">
        <v>0</v>
      </c>
      <c r="I115" s="18">
        <v>50</v>
      </c>
      <c r="J115" s="19">
        <v>187440</v>
      </c>
      <c r="K115" s="19">
        <v>863697.89</v>
      </c>
      <c r="N115" s="21"/>
      <c r="O115" s="33"/>
      <c r="T115" s="22">
        <f>[1]NSE!T111</f>
        <v>0</v>
      </c>
    </row>
    <row r="116" spans="1:22" ht="15.75" customHeight="1">
      <c r="A116" s="16" t="s">
        <v>124</v>
      </c>
      <c r="B116" s="16">
        <v>245.5</v>
      </c>
      <c r="C116" s="16">
        <v>245.5</v>
      </c>
      <c r="D116" s="16">
        <v>0</v>
      </c>
      <c r="E116" s="16">
        <v>0</v>
      </c>
      <c r="F116" s="16">
        <v>245.5</v>
      </c>
      <c r="G116" s="16">
        <v>0</v>
      </c>
      <c r="H116" s="17">
        <v>0</v>
      </c>
      <c r="I116" s="18">
        <v>64</v>
      </c>
      <c r="J116" s="19">
        <v>37156</v>
      </c>
      <c r="K116" s="19">
        <v>8211476</v>
      </c>
      <c r="N116" s="21"/>
      <c r="O116" s="33"/>
      <c r="T116" s="22">
        <f>[1]NSE!T112</f>
        <v>0</v>
      </c>
    </row>
    <row r="117" spans="1:22" ht="15.75" customHeight="1">
      <c r="A117" s="16" t="s">
        <v>125</v>
      </c>
      <c r="B117" s="16">
        <v>4.37</v>
      </c>
      <c r="C117" s="16">
        <v>4.37</v>
      </c>
      <c r="D117" s="16">
        <v>0</v>
      </c>
      <c r="E117" s="16">
        <v>0</v>
      </c>
      <c r="F117" s="16">
        <v>4.37</v>
      </c>
      <c r="G117" s="16">
        <v>0</v>
      </c>
      <c r="H117" s="17">
        <v>0</v>
      </c>
      <c r="I117" s="18">
        <v>43</v>
      </c>
      <c r="J117" s="19">
        <v>99938</v>
      </c>
      <c r="K117" s="19">
        <v>468981.51</v>
      </c>
      <c r="N117" s="21"/>
      <c r="O117" s="33"/>
      <c r="T117" s="22">
        <f>[1]NSE!T113</f>
        <v>0</v>
      </c>
    </row>
    <row r="118" spans="1:22" ht="12" customHeight="1">
      <c r="A118" s="16" t="s">
        <v>126</v>
      </c>
      <c r="B118" s="16">
        <v>180.7</v>
      </c>
      <c r="C118" s="16">
        <v>180.7</v>
      </c>
      <c r="D118" s="16">
        <v>184.5</v>
      </c>
      <c r="E118" s="16">
        <v>184.5</v>
      </c>
      <c r="F118" s="16">
        <v>184.5</v>
      </c>
      <c r="G118" s="16">
        <v>3.8000000000000114</v>
      </c>
      <c r="H118" s="17">
        <v>2.102933038184851E-2</v>
      </c>
      <c r="I118" s="18">
        <v>469</v>
      </c>
      <c r="J118" s="19">
        <v>3173505</v>
      </c>
      <c r="K118" s="19">
        <v>573186132.70000005</v>
      </c>
      <c r="N118" s="33"/>
      <c r="T118" s="22">
        <f>[1]NSE!T114</f>
        <v>0</v>
      </c>
    </row>
    <row r="119" spans="1:22">
      <c r="A119" s="16" t="s">
        <v>127</v>
      </c>
      <c r="B119" s="16">
        <v>43.6</v>
      </c>
      <c r="C119" s="16">
        <v>43.6</v>
      </c>
      <c r="D119" s="16">
        <v>44.85</v>
      </c>
      <c r="E119" s="16">
        <v>43.5</v>
      </c>
      <c r="F119" s="16">
        <v>43.5</v>
      </c>
      <c r="G119" s="16">
        <v>-0.10000000000000142</v>
      </c>
      <c r="H119" s="17">
        <v>-2.2935779816514179E-3</v>
      </c>
      <c r="I119" s="18">
        <v>2014</v>
      </c>
      <c r="J119" s="19">
        <v>16546773</v>
      </c>
      <c r="K119" s="19">
        <v>725710898.95000005</v>
      </c>
      <c r="N119" s="33"/>
      <c r="T119" s="22">
        <f>[1]NSE!T115</f>
        <v>0</v>
      </c>
    </row>
    <row r="120" spans="1:22">
      <c r="A120" s="16" t="s">
        <v>128</v>
      </c>
      <c r="B120" s="16">
        <v>18.649999999999999</v>
      </c>
      <c r="C120" s="16">
        <v>18.649999999999999</v>
      </c>
      <c r="D120" s="16">
        <v>18.7</v>
      </c>
      <c r="E120" s="16">
        <v>18.5</v>
      </c>
      <c r="F120" s="16">
        <v>18.5</v>
      </c>
      <c r="G120" s="16">
        <v>-0.14999999999999858</v>
      </c>
      <c r="H120" s="17">
        <v>-8.0428954423591437E-3</v>
      </c>
      <c r="I120" s="18">
        <v>471</v>
      </c>
      <c r="J120" s="19">
        <v>4458372</v>
      </c>
      <c r="K120" s="19">
        <v>82931767.349999994</v>
      </c>
      <c r="N120" s="33"/>
      <c r="T120" s="22">
        <f>[1]NSE!T116</f>
        <v>0</v>
      </c>
    </row>
    <row r="121" spans="1:22">
      <c r="A121" s="16" t="s">
        <v>129</v>
      </c>
      <c r="B121" s="16">
        <v>156</v>
      </c>
      <c r="C121" s="16">
        <v>156</v>
      </c>
      <c r="D121" s="16">
        <v>0</v>
      </c>
      <c r="E121" s="16">
        <v>0</v>
      </c>
      <c r="F121" s="16">
        <v>156</v>
      </c>
      <c r="G121" s="16">
        <v>0</v>
      </c>
      <c r="H121" s="17">
        <v>0</v>
      </c>
      <c r="I121" s="18">
        <v>346</v>
      </c>
      <c r="J121" s="19">
        <v>663874</v>
      </c>
      <c r="K121" s="19">
        <v>93279989.799999997</v>
      </c>
      <c r="N121" s="1"/>
      <c r="T121" s="22">
        <f>[1]NSE!T117</f>
        <v>0</v>
      </c>
    </row>
    <row r="122" spans="1:22">
      <c r="A122" s="16" t="s">
        <v>130</v>
      </c>
      <c r="B122" s="16">
        <v>23.75</v>
      </c>
      <c r="C122" s="16">
        <v>23.75</v>
      </c>
      <c r="D122" s="16">
        <v>0</v>
      </c>
      <c r="E122" s="16">
        <v>0</v>
      </c>
      <c r="F122" s="16">
        <v>23.75</v>
      </c>
      <c r="G122" s="16">
        <v>0</v>
      </c>
      <c r="H122" s="17">
        <v>0</v>
      </c>
      <c r="I122" s="18">
        <v>19</v>
      </c>
      <c r="J122" s="19">
        <v>26798</v>
      </c>
      <c r="K122" s="19">
        <v>573477.19999999995</v>
      </c>
      <c r="N122" s="1"/>
      <c r="Q122" s="22"/>
      <c r="R122" s="22"/>
      <c r="S122" s="22"/>
      <c r="T122" s="22"/>
      <c r="U122" s="22"/>
      <c r="V122" s="22"/>
    </row>
    <row r="123" spans="1:22">
      <c r="A123" s="16" t="s">
        <v>131</v>
      </c>
      <c r="B123" s="16">
        <v>1.1100000000000001</v>
      </c>
      <c r="C123" s="16">
        <v>1.1100000000000001</v>
      </c>
      <c r="D123" s="16">
        <v>1.1299999999999999</v>
      </c>
      <c r="E123" s="16">
        <v>1.06</v>
      </c>
      <c r="F123" s="16">
        <v>1.07</v>
      </c>
      <c r="G123" s="16">
        <v>-4.0000000000000036E-2</v>
      </c>
      <c r="H123" s="17">
        <v>-3.6036036036036112E-2</v>
      </c>
      <c r="I123" s="18">
        <v>145</v>
      </c>
      <c r="J123" s="19">
        <v>10082018</v>
      </c>
      <c r="K123" s="19">
        <v>11069331.24</v>
      </c>
      <c r="N123" s="1"/>
    </row>
    <row r="124" spans="1:22">
      <c r="A124" s="16" t="s">
        <v>132</v>
      </c>
      <c r="B124" s="16">
        <v>4</v>
      </c>
      <c r="C124" s="16">
        <v>4</v>
      </c>
      <c r="D124" s="16">
        <v>3.95</v>
      </c>
      <c r="E124" s="16">
        <v>3.8</v>
      </c>
      <c r="F124" s="16">
        <v>3.9</v>
      </c>
      <c r="G124" s="16">
        <v>-0.10000000000000009</v>
      </c>
      <c r="H124" s="17">
        <v>-2.5000000000000022E-2</v>
      </c>
      <c r="I124" s="18">
        <v>245</v>
      </c>
      <c r="J124" s="19">
        <v>9093367</v>
      </c>
      <c r="K124" s="19">
        <v>35033450.399999999</v>
      </c>
      <c r="N124" s="1"/>
    </row>
    <row r="125" spans="1:22">
      <c r="A125" s="16" t="s">
        <v>133</v>
      </c>
      <c r="B125" s="16">
        <v>5.0999999999999996</v>
      </c>
      <c r="C125" s="16">
        <v>5.0999999999999996</v>
      </c>
      <c r="D125" s="16">
        <v>5.15</v>
      </c>
      <c r="E125" s="16">
        <v>5.0999999999999996</v>
      </c>
      <c r="F125" s="16">
        <v>5.15</v>
      </c>
      <c r="G125" s="16">
        <v>5.0000000000000711E-2</v>
      </c>
      <c r="H125" s="17">
        <v>9.8039215686276382E-3</v>
      </c>
      <c r="I125" s="18">
        <v>149</v>
      </c>
      <c r="J125" s="19">
        <v>3550281</v>
      </c>
      <c r="K125" s="19">
        <v>18323341.899999999</v>
      </c>
    </row>
    <row r="126" spans="1:22">
      <c r="A126" s="16" t="s">
        <v>134</v>
      </c>
      <c r="B126" s="16">
        <v>1.64</v>
      </c>
      <c r="C126" s="16">
        <v>1.64</v>
      </c>
      <c r="D126" s="16">
        <v>1.65</v>
      </c>
      <c r="E126" s="16">
        <v>1.6</v>
      </c>
      <c r="F126" s="16">
        <v>1.62</v>
      </c>
      <c r="G126" s="16">
        <v>-1.9999999999999796E-2</v>
      </c>
      <c r="H126" s="17">
        <v>-1.2195121951219412E-2</v>
      </c>
      <c r="I126" s="18">
        <v>178</v>
      </c>
      <c r="J126" s="19">
        <v>5429263</v>
      </c>
      <c r="K126" s="19">
        <v>8767129.9100000001</v>
      </c>
    </row>
    <row r="127" spans="1:22">
      <c r="A127" s="16" t="s">
        <v>135</v>
      </c>
      <c r="B127" s="16">
        <v>10.35</v>
      </c>
      <c r="C127" s="16">
        <v>10.35</v>
      </c>
      <c r="D127" s="16">
        <v>10.8</v>
      </c>
      <c r="E127" s="16">
        <v>10.55</v>
      </c>
      <c r="F127" s="16">
        <v>10.55</v>
      </c>
      <c r="G127" s="16">
        <v>0.20000000000000107</v>
      </c>
      <c r="H127" s="17">
        <v>1.9323671497584627E-2</v>
      </c>
      <c r="I127" s="18">
        <v>355</v>
      </c>
      <c r="J127" s="19">
        <v>3355898</v>
      </c>
      <c r="K127" s="19">
        <v>35637986.5</v>
      </c>
    </row>
    <row r="128" spans="1:22">
      <c r="A128" s="16" t="s">
        <v>136</v>
      </c>
      <c r="B128" s="16">
        <v>194</v>
      </c>
      <c r="C128" s="16">
        <v>194</v>
      </c>
      <c r="D128" s="16">
        <v>0</v>
      </c>
      <c r="E128" s="16">
        <v>0</v>
      </c>
      <c r="F128" s="16">
        <v>194</v>
      </c>
      <c r="G128" s="16">
        <v>0</v>
      </c>
      <c r="H128" s="17">
        <v>0</v>
      </c>
      <c r="I128" s="18">
        <v>401</v>
      </c>
      <c r="J128" s="19">
        <v>323107</v>
      </c>
      <c r="K128" s="19">
        <v>57437968.200000003</v>
      </c>
    </row>
    <row r="129" spans="1:15">
      <c r="A129" s="16" t="s">
        <v>137</v>
      </c>
      <c r="B129" s="16">
        <v>330</v>
      </c>
      <c r="C129" s="16">
        <v>330</v>
      </c>
      <c r="D129" s="16">
        <v>330</v>
      </c>
      <c r="E129" s="16">
        <v>330</v>
      </c>
      <c r="F129" s="16">
        <v>330</v>
      </c>
      <c r="G129" s="16">
        <v>0</v>
      </c>
      <c r="H129" s="17">
        <v>0</v>
      </c>
      <c r="I129" s="18">
        <v>1522</v>
      </c>
      <c r="J129" s="19">
        <v>7595006</v>
      </c>
      <c r="K129" s="19">
        <v>2469804811.6999998</v>
      </c>
    </row>
    <row r="130" spans="1:15">
      <c r="A130" s="16" t="s">
        <v>138</v>
      </c>
      <c r="B130" s="16">
        <v>2.74</v>
      </c>
      <c r="C130" s="16">
        <v>2.74</v>
      </c>
      <c r="D130" s="16">
        <v>0</v>
      </c>
      <c r="E130" s="16">
        <v>0</v>
      </c>
      <c r="F130" s="16">
        <v>2.74</v>
      </c>
      <c r="G130" s="16">
        <v>0</v>
      </c>
      <c r="H130" s="17">
        <v>0</v>
      </c>
      <c r="I130" s="18">
        <v>119</v>
      </c>
      <c r="J130" s="19">
        <v>1065390</v>
      </c>
      <c r="K130" s="19">
        <v>2914955.65</v>
      </c>
      <c r="N130" s="20"/>
      <c r="O130" s="21"/>
    </row>
    <row r="131" spans="1:15">
      <c r="A131" s="16" t="s">
        <v>139</v>
      </c>
      <c r="B131" s="16">
        <v>30</v>
      </c>
      <c r="C131" s="16">
        <v>30</v>
      </c>
      <c r="D131" s="16">
        <v>32.9</v>
      </c>
      <c r="E131" s="16">
        <v>30.5</v>
      </c>
      <c r="F131" s="16">
        <v>30.6</v>
      </c>
      <c r="G131" s="16">
        <v>0.60000000000000142</v>
      </c>
      <c r="H131" s="17">
        <v>2.0000000000000018E-2</v>
      </c>
      <c r="I131" s="18">
        <v>914</v>
      </c>
      <c r="J131" s="19">
        <v>4231126</v>
      </c>
      <c r="K131" s="19">
        <v>130678306.05</v>
      </c>
    </row>
    <row r="132" spans="1:15">
      <c r="A132" s="16" t="s">
        <v>140</v>
      </c>
      <c r="B132" s="16">
        <v>128</v>
      </c>
      <c r="C132" s="16">
        <v>128</v>
      </c>
      <c r="D132" s="16">
        <v>128.6</v>
      </c>
      <c r="E132" s="16">
        <v>126.05</v>
      </c>
      <c r="F132" s="16">
        <v>128.5</v>
      </c>
      <c r="G132" s="16">
        <v>0.5</v>
      </c>
      <c r="H132" s="17">
        <v>3.90625E-3</v>
      </c>
      <c r="I132" s="18">
        <v>4701</v>
      </c>
      <c r="J132" s="19">
        <v>15655074</v>
      </c>
      <c r="K132" s="19">
        <v>1999001227.8</v>
      </c>
    </row>
    <row r="133" spans="1:15">
      <c r="A133" s="35" t="s">
        <v>141</v>
      </c>
      <c r="B133" s="35">
        <v>32.380000000000003</v>
      </c>
      <c r="C133" s="35">
        <v>32.380000000000003</v>
      </c>
      <c r="D133" s="35">
        <v>32.5</v>
      </c>
      <c r="E133" s="35">
        <v>30.8</v>
      </c>
      <c r="F133" s="35">
        <v>30.85</v>
      </c>
      <c r="G133" s="35">
        <v>-1.5300000000000011</v>
      </c>
      <c r="H133" s="36">
        <v>-4.7251389746757244E-2</v>
      </c>
      <c r="I133" s="37">
        <v>584</v>
      </c>
      <c r="J133" s="38">
        <v>4134191</v>
      </c>
      <c r="K133" s="38">
        <v>130076474.42</v>
      </c>
      <c r="L133" s="23"/>
      <c r="M133" s="23"/>
      <c r="N133" s="39"/>
      <c r="O133" s="23"/>
    </row>
    <row r="134" spans="1:15">
      <c r="A134" s="16"/>
      <c r="B134" s="16"/>
      <c r="C134" s="16"/>
      <c r="D134" s="16"/>
      <c r="E134" s="16"/>
      <c r="F134" s="16"/>
      <c r="G134" s="16"/>
      <c r="H134" s="17"/>
      <c r="I134" s="18"/>
      <c r="J134" s="40"/>
      <c r="K134" s="40"/>
    </row>
    <row r="135" spans="1:15">
      <c r="A135" s="16"/>
      <c r="B135" s="16"/>
      <c r="C135" s="16"/>
      <c r="D135" s="16"/>
      <c r="E135" s="16"/>
      <c r="F135" s="16"/>
      <c r="G135" s="16"/>
      <c r="H135" s="17"/>
      <c r="I135" s="18"/>
      <c r="J135" s="19"/>
      <c r="K135" s="19"/>
    </row>
    <row r="136" spans="1:15">
      <c r="A136" s="16"/>
      <c r="B136" s="16"/>
      <c r="C136" s="16"/>
      <c r="D136" s="16"/>
      <c r="E136" s="16"/>
      <c r="F136" s="16"/>
      <c r="G136" s="16"/>
      <c r="H136" s="17"/>
      <c r="I136" s="18"/>
      <c r="J136" s="40"/>
      <c r="K136" s="40"/>
    </row>
    <row r="137" spans="1:15">
      <c r="A137" s="16"/>
      <c r="B137" s="16"/>
      <c r="C137" s="16"/>
      <c r="D137" s="16"/>
      <c r="E137" s="16"/>
      <c r="F137" s="16"/>
      <c r="G137" s="16"/>
      <c r="H137" s="17"/>
      <c r="I137" s="18"/>
      <c r="J137" s="40"/>
      <c r="K137" s="40"/>
    </row>
    <row r="138" spans="1:15">
      <c r="A138" s="16"/>
      <c r="B138" s="16"/>
      <c r="C138" s="16"/>
      <c r="D138" s="16"/>
      <c r="E138" s="16"/>
      <c r="F138" s="16"/>
      <c r="G138" s="16"/>
      <c r="H138" s="17"/>
      <c r="I138" s="18"/>
      <c r="J138" s="40"/>
      <c r="K138" s="40"/>
    </row>
    <row r="139" spans="1:15">
      <c r="A139" s="41"/>
      <c r="B139" s="41"/>
      <c r="C139" s="41"/>
      <c r="D139" s="41"/>
      <c r="E139" s="41"/>
      <c r="F139" s="41"/>
      <c r="G139" s="41"/>
      <c r="H139" s="31"/>
      <c r="I139" s="18"/>
      <c r="J139" s="40"/>
      <c r="K139" s="40"/>
    </row>
    <row r="140" spans="1:15">
      <c r="A140" s="16"/>
      <c r="B140" s="16"/>
      <c r="C140" s="16"/>
      <c r="D140" s="16"/>
      <c r="E140" s="16"/>
      <c r="F140" s="16"/>
      <c r="G140" s="16"/>
      <c r="H140" s="17"/>
      <c r="I140" s="18"/>
      <c r="J140" s="40"/>
      <c r="K140" s="40"/>
    </row>
    <row r="141" spans="1:15">
      <c r="A141" s="41"/>
      <c r="B141" s="41"/>
      <c r="C141" s="41"/>
      <c r="D141" s="41"/>
      <c r="E141" s="41"/>
      <c r="F141" s="41"/>
      <c r="G141" s="41"/>
      <c r="H141" s="31"/>
      <c r="I141" s="18"/>
      <c r="J141" s="40"/>
      <c r="K141" s="40"/>
    </row>
    <row r="142" spans="1:15">
      <c r="A142" s="16"/>
      <c r="B142" s="16"/>
      <c r="C142" s="16"/>
      <c r="D142" s="16"/>
      <c r="E142" s="16"/>
      <c r="F142" s="16"/>
      <c r="G142" s="16"/>
      <c r="H142" s="17"/>
      <c r="I142" s="18"/>
      <c r="J142" s="40"/>
      <c r="K142" s="40"/>
    </row>
    <row r="143" spans="1:15">
      <c r="A143" s="16"/>
      <c r="B143" s="16"/>
      <c r="C143" s="16"/>
      <c r="D143" s="16"/>
      <c r="E143" s="16"/>
      <c r="F143" s="16"/>
      <c r="G143" s="16"/>
      <c r="H143" s="17"/>
      <c r="I143" s="18"/>
      <c r="J143" s="40"/>
      <c r="K143" s="40"/>
    </row>
    <row r="144" spans="1:15">
      <c r="A144" s="16"/>
      <c r="B144" s="16"/>
      <c r="C144" s="16"/>
      <c r="D144" s="16"/>
      <c r="E144" s="16"/>
      <c r="F144" s="16"/>
      <c r="G144" s="16"/>
      <c r="H144" s="17"/>
      <c r="I144" s="18"/>
      <c r="J144" s="40"/>
      <c r="K144" s="40"/>
    </row>
    <row r="145" spans="1:11">
      <c r="A145" s="16"/>
      <c r="B145" s="16"/>
      <c r="C145" s="16"/>
      <c r="D145" s="16"/>
      <c r="E145" s="16"/>
      <c r="F145" s="16"/>
      <c r="G145" s="16"/>
      <c r="H145" s="17"/>
      <c r="I145" s="18"/>
      <c r="J145" s="40"/>
      <c r="K145" s="40"/>
    </row>
  </sheetData>
  <mergeCells count="4">
    <mergeCell ref="E1:K5"/>
    <mergeCell ref="S2:T2"/>
    <mergeCell ref="S3:T3"/>
    <mergeCell ref="S4:T4"/>
  </mergeCells>
  <conditionalFormatting sqref="A1:A1048576">
    <cfRule type="duplicateValues" dxfId="1" priority="1"/>
  </conditionalFormatting>
  <conditionalFormatting sqref="H7:H145">
    <cfRule type="cellIs" dxfId="0" priority="2" operator="greaterThan">
      <formula>0</formula>
    </cfRule>
    <cfRule type="colorScale" priority="3">
      <colorScale>
        <cfvo type="formula" val="&quot;&lt;0%&quot;"/>
        <cfvo type="percent" val="0"/>
        <cfvo type="formula" val="&quot;&gt;0%&quot;"/>
        <color rgb="FFF8696B"/>
        <color rgb="FFFFEB84"/>
        <color rgb="FF63BE7B"/>
      </colorScale>
    </cfRule>
    <cfRule type="colorScale" priority="4">
      <colorScale>
        <cfvo type="min"/>
        <cfvo type="max"/>
        <color theme="0"/>
        <color theme="0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9199CFE2-4512-4385-AD66-6CB371E00A4E}">
            <x14:iconSet iconSet="3Triangles">
              <x14:cfvo type="percent">
                <xm:f>0</xm:f>
              </x14:cfvo>
              <x14:cfvo type="formula">
                <xm:f>-0.00001</xm:f>
              </x14:cfvo>
              <x14:cfvo type="formula" gte="0">
                <xm:f>0.00001</xm:f>
              </x14:cfvo>
            </x14:iconSet>
          </x14:cfRule>
          <xm:sqref>H7:H145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DMS pricelist (16)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Buhari</dc:creator>
  <cp:lastModifiedBy>Ahmad Buhari</cp:lastModifiedBy>
  <dcterms:created xsi:type="dcterms:W3CDTF">2026-06-08T15:14:54Z</dcterms:created>
  <dcterms:modified xsi:type="dcterms:W3CDTF">2026-06-08T15:25:30Z</dcterms:modified>
</cp:coreProperties>
</file>